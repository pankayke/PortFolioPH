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igparasa\"/>
    </mc:Choice>
  </mc:AlternateContent>
  <xr:revisionPtr revIDLastSave="0" documentId="8_{51756BB6-DF95-4B9C-AB49-EC2DA74270A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📋 Cover" sheetId="1" r:id="rId1"/>
    <sheet name="📊 Dashboard" sheetId="2" r:id="rId2"/>
    <sheet name="🏃 Sprint 1" sheetId="3" r:id="rId3"/>
    <sheet name="🏃 Sprint 2" sheetId="4" r:id="rId4"/>
    <sheet name="🏃 Sprint 3" sheetId="5" r:id="rId5"/>
    <sheet name="🏃 Sprint 4" sheetId="6" r:id="rId6"/>
    <sheet name="🏃 Sprint 5" sheetId="7" r:id="rId7"/>
    <sheet name="🏃 Sprint 6" sheetId="8" r:id="rId8"/>
    <sheet name="🏃 Sprint 7" sheetId="9" r:id="rId9"/>
    <sheet name="🏃 Sprint 8" sheetId="10" r:id="rId10"/>
    <sheet name="🗺 Master Tracker" sheetId="11" r:id="rId11"/>
    <sheet name="📅 Class Schedule" sheetId="12" r:id="rId12"/>
    <sheet name="📦 Tech Stack" sheetId="13" r:id="rId13"/>
    <sheet name="📐 ERD" sheetId="14" r:id="rId14"/>
    <sheet name="🗂 Flutter Scaffold" sheetId="15" r:id="rId15"/>
    <sheet name="✅ Day 1 Checklist" sheetId="16" r:id="rId16"/>
    <sheet name="📈 Metrics" sheetId="17" r:id="rId17"/>
  </sheets>
  <externalReferences>
    <externalReference r:id="rId1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7" l="1"/>
  <c r="C4" i="17"/>
  <c r="F12" i="11"/>
  <c r="E12" i="11"/>
  <c r="D12" i="11"/>
  <c r="C12" i="11"/>
  <c r="G11" i="11"/>
  <c r="H11" i="11" s="1"/>
  <c r="G10" i="11"/>
  <c r="H10" i="11" s="1"/>
  <c r="H9" i="11"/>
  <c r="G9" i="11"/>
  <c r="G8" i="11"/>
  <c r="H8" i="11" s="1"/>
  <c r="G7" i="11"/>
  <c r="H7" i="11" s="1"/>
  <c r="G6" i="11"/>
  <c r="H6" i="11" s="1"/>
  <c r="H5" i="11"/>
  <c r="G5" i="11"/>
  <c r="G4" i="11"/>
  <c r="G12" i="11" s="1"/>
  <c r="H12" i="11" s="1"/>
  <c r="D18" i="10"/>
  <c r="D18" i="9"/>
  <c r="D18" i="8"/>
  <c r="D17" i="7"/>
  <c r="D18" i="6"/>
  <c r="D17" i="5"/>
  <c r="D17" i="4"/>
  <c r="D17" i="3"/>
  <c r="G12" i="2"/>
  <c r="F12" i="2"/>
  <c r="E12" i="2"/>
  <c r="H4" i="11" l="1"/>
</calcChain>
</file>

<file path=xl/sharedStrings.xml><?xml version="1.0" encoding="utf-8"?>
<sst xmlns="http://schemas.openxmlformats.org/spreadsheetml/2006/main" count="2109" uniqueCount="986">
  <si>
    <t>PortFolioPH</t>
  </si>
  <si>
    <t>Offline Portfolio Builder for Students</t>
  </si>
  <si>
    <t>8-Sprint Agile Roadmap  ·  16 Weeks  ·  768 Total Hours</t>
  </si>
  <si>
    <t xml:space="preserve">  Team Members</t>
  </si>
  <si>
    <t>Tom Kyle B. Caballegan  |  Mark Leannie Gacutno  |  Rex Bernard G. Gabor</t>
  </si>
  <si>
    <t xml:space="preserve">  Course Schedule</t>
  </si>
  <si>
    <t>MTh 4–5:30 PM  ·  W 3–5 PM  →  7.5 hrs/week team time</t>
  </si>
  <si>
    <t xml:space="preserve">  Constraint</t>
  </si>
  <si>
    <t>32 hrs / programmer / week  =  96 hrs / week total</t>
  </si>
  <si>
    <t xml:space="preserve">  Tech Stack</t>
  </si>
  <si>
    <t>Flutter (Android-only)  ·  SQLite  ·  pdf package  ·  image_picker</t>
  </si>
  <si>
    <t xml:space="preserve">  Duration</t>
  </si>
  <si>
    <t>8 Sprints × 2 Weeks  =  16 Weeks</t>
  </si>
  <si>
    <t xml:space="preserve">  Deliverable</t>
  </si>
  <si>
    <t>Signed Release APK  +  Capstone Presentation</t>
  </si>
  <si>
    <t>WORKBOOK SHEETS</t>
  </si>
  <si>
    <t>📋 Cover</t>
  </si>
  <si>
    <t>This page — project summary &amp; navigation</t>
  </si>
  <si>
    <t>📊 Dashboard</t>
  </si>
  <si>
    <t>Sprint summary, hours budget, milestones</t>
  </si>
  <si>
    <t>🏃 Sprint 1</t>
  </si>
  <si>
    <t>Foundation &amp; architecture</t>
  </si>
  <si>
    <t>🏃 Sprint 2</t>
  </si>
  <si>
    <t>Auth + Dashboard UI</t>
  </si>
  <si>
    <t>🏃 Sprint 3</t>
  </si>
  <si>
    <t>Portfolio CRUD I (Projects, Achievements)</t>
  </si>
  <si>
    <t>🏃 Sprint 4</t>
  </si>
  <si>
    <t>Portfolio CRUD II (Certs, Reflections, Skills)</t>
  </si>
  <si>
    <t>🏃 Sprint 5</t>
  </si>
  <si>
    <t>Resume / CV Builder</t>
  </si>
  <si>
    <t>🏃 Sprint 6</t>
  </si>
  <si>
    <t>PDF Export + UI Polish</t>
  </si>
  <si>
    <t>🏃 Sprint 7</t>
  </si>
  <si>
    <t>Admin Panel + Security</t>
  </si>
  <si>
    <t>🏃 Sprint 8</t>
  </si>
  <si>
    <t>QA, Bug Fixes, APK Release</t>
  </si>
  <si>
    <t>🗺 Master Tracker</t>
  </si>
  <si>
    <t>Single source of truth — all sprints</t>
  </si>
  <si>
    <t>📅 Class Schedule</t>
  </si>
  <si>
    <t>MTh/W sessions mapped to sprints</t>
  </si>
  <si>
    <t>📦 Tech Stack</t>
  </si>
  <si>
    <t>Package manifest + verification checklist</t>
  </si>
  <si>
    <t>📐 ERD</t>
  </si>
  <si>
    <t>SQLite schema with entities &amp; relationships</t>
  </si>
  <si>
    <t>🗂 Flutter Scaffold</t>
  </si>
  <si>
    <t>Complete folder/file structure with purpose</t>
  </si>
  <si>
    <t>✅ Day 1 Checklist</t>
  </si>
  <si>
    <t>Sprint 1 kickoff checklist — ready to run</t>
  </si>
  <si>
    <t>📈 Metrics</t>
  </si>
  <si>
    <t>Success KPIs + progress formulas</t>
  </si>
  <si>
    <t>PortFolioPH — Sprint Dashboard Summary</t>
  </si>
  <si>
    <t>8 Sprints · 16 Weeks · 768 Total Hours · Android-Only Flutter App</t>
  </si>
  <si>
    <t>Sprint</t>
  </si>
  <si>
    <t>Weeks</t>
  </si>
  <si>
    <t>Theme</t>
  </si>
  <si>
    <t>Goals</t>
  </si>
  <si>
    <t>Team Hrs</t>
  </si>
  <si>
    <t>Buffer 10%</t>
  </si>
  <si>
    <t>Net Hrs</t>
  </si>
  <si>
    <t>Demo Milestone</t>
  </si>
  <si>
    <t>Status</t>
  </si>
  <si>
    <t>1–2</t>
  </si>
  <si>
    <t>Foundation</t>
  </si>
  <si>
    <t>Project setup, folder structure, DB schema, navigation scaffold</t>
  </si>
  <si>
    <t>Splash screen + nav on emulator</t>
  </si>
  <si>
    <t>Not Started</t>
  </si>
  <si>
    <t>3–4</t>
  </si>
  <si>
    <t>Auth + UI Core</t>
  </si>
  <si>
    <t>Login/Register w/ SQLite, dashboard, theming</t>
  </si>
  <si>
    <t>Full auth flow + home dashboard</t>
  </si>
  <si>
    <t>5–6</t>
  </si>
  <si>
    <t>Portfolio CRUD I</t>
  </si>
  <si>
    <t>Projects &amp; Achievements module + image upload</t>
  </si>
  <si>
    <t>Add/edit/delete projects with images</t>
  </si>
  <si>
    <t>7–8</t>
  </si>
  <si>
    <t>Portfolio CRUD II</t>
  </si>
  <si>
    <t>Certificates, Reflections, Skills tracker</t>
  </si>
  <si>
    <t>Full portfolio CRUD + skills page</t>
  </si>
  <si>
    <t>9–10</t>
  </si>
  <si>
    <t>Resume Builder</t>
  </si>
  <si>
    <t>Philippine resume/CV templates, data population</t>
  </si>
  <si>
    <t>Resume preview with live portfolio data</t>
  </si>
  <si>
    <t>11–12</t>
  </si>
  <si>
    <t>PDF Export</t>
  </si>
  <si>
    <t>PDF generation, export, share; UI polish</t>
  </si>
  <si>
    <t>Exportable PDF portfolio + resume</t>
  </si>
  <si>
    <t>13–14</t>
  </si>
  <si>
    <t>Admin + Security</t>
  </si>
  <si>
    <t>Admin local panel, PIN lock, backup/restore</t>
  </si>
  <si>
    <t>Admin dashboard + locked student access</t>
  </si>
  <si>
    <t>15–16</t>
  </si>
  <si>
    <t>Release</t>
  </si>
  <si>
    <t>QA, bug fixes, performance, signed APK</t>
  </si>
  <si>
    <t>Signed APK + capstone demo</t>
  </si>
  <si>
    <t>TOTAL</t>
  </si>
  <si>
    <t>8 Sprints · 16 Weeks</t>
  </si>
  <si>
    <t>Android APK Submitted</t>
  </si>
  <si>
    <t>16 Wks</t>
  </si>
  <si>
    <t>STATUS LEGEND:</t>
  </si>
  <si>
    <t xml:space="preserve">  Not Started  </t>
  </si>
  <si>
    <t xml:space="preserve">  In Progress  </t>
  </si>
  <si>
    <t xml:space="preserve">  Done  </t>
  </si>
  <si>
    <t>Sprint 1: Foundation &amp; Architecture</t>
  </si>
  <si>
    <t>Goal: Scaffold the entire project so every team member can code independently by end of week 2.</t>
  </si>
  <si>
    <t>#</t>
  </si>
  <si>
    <t>Task</t>
  </si>
  <si>
    <t>Owner(s)</t>
  </si>
  <si>
    <t>Est Hrs</t>
  </si>
  <si>
    <t>Notes</t>
  </si>
  <si>
    <t>Flutter project init, pubspec.yaml, all package setup</t>
  </si>
  <si>
    <t>TK</t>
  </si>
  <si>
    <t>Flutter 3.x stable; Android-only build config</t>
  </si>
  <si>
    <t>⬜ Not Started</t>
  </si>
  <si>
    <t>Enforce folder structure — create ALL placeholder .dart files</t>
  </si>
  <si>
    <t>See Flutter Scaffold sheet; no empty folders</t>
  </si>
  <si>
    <t>SQLite schema design — all 10 tables, ERD sign-off</t>
  </si>
  <si>
    <t>ML</t>
  </si>
  <si>
    <t>Finalize on Day 1 before writing any code</t>
  </si>
  <si>
    <t>DatabaseService singleton: open(), close(), getDatabase(), migrations</t>
  </si>
  <si>
    <t>Abstract all raw SQL; no direct sqflite calls in UI ever</t>
  </si>
  <si>
    <t>AppRouter (GoRouter) — define ALL named routes upfront</t>
  </si>
  <si>
    <t>RB</t>
  </si>
  <si>
    <t>Map every screen on day 1; fallback to Navigator 2.0 if &gt;4 hrs</t>
  </si>
  <si>
    <t>Bottom navigation scaffold + 5 placeholder tab screens</t>
  </si>
  <si>
    <t>Tabs: Home, Portfolio, Resume, Skills, Profile</t>
  </si>
  <si>
    <t>Splash screen: logo + loading + session check → redirect</t>
  </si>
  <si>
    <t>Check SharedPreferences for userId; redirect accordingly</t>
  </si>
  <si>
    <t>AppConstants: colors, font sizes, padding, DB name, version</t>
  </si>
  <si>
    <t>Zero magic numbers allowed from Sprint 1 onward</t>
  </si>
  <si>
    <t>AppTheme: Material 3, brand colors, dark/light modes</t>
  </si>
  <si>
    <t>ThemeData centrally defined; never hardcode colors in widgets</t>
  </si>
  <si>
    <t>Git repo setup, branching strategy, README.md</t>
  </si>
  <si>
    <t>TK+ML+RB</t>
  </si>
  <si>
    <t>main/develop/feature/* branches; PRs required to merge to develop</t>
  </si>
  <si>
    <t>Android manifest: runtime permissions (storage, camera)</t>
  </si>
  <si>
    <t>Use permission_handler; request at runtime not install time</t>
  </si>
  <si>
    <t>Sprint 1 internal demo + full retrospective</t>
  </si>
  <si>
    <t>Run on physical Android device; record screen for evidence</t>
  </si>
  <si>
    <t>BUFFER — 10%</t>
  </si>
  <si>
    <t>All</t>
  </si>
  <si>
    <t>Use only when blocked; do NOT pre-assign tasks here</t>
  </si>
  <si>
    <t>—</t>
  </si>
  <si>
    <t>SPRINT TOTAL</t>
  </si>
  <si>
    <t>TK + ML + RB</t>
  </si>
  <si>
    <t>Target: 96 hrs  |  Per person: 32 hrs each</t>
  </si>
  <si>
    <t>⏱  Per-person target: TK = 32 hrs  |  ML = 32 hrs  |  RB = 32 hrs  (adjust with buffer to balance)</t>
  </si>
  <si>
    <t>⚠  SPRINT RISK REGISTER</t>
  </si>
  <si>
    <t>Risk</t>
  </si>
  <si>
    <t>Likelihood</t>
  </si>
  <si>
    <t>Impact</t>
  </si>
  <si>
    <t>Mitigation</t>
  </si>
  <si>
    <t>SQLite schema changes mid-sprint</t>
  </si>
  <si>
    <t>Medium</t>
  </si>
  <si>
    <t>High</t>
  </si>
  <si>
    <t>Finalize &amp; sign-off ERD on Day 1 before any coding</t>
  </si>
  <si>
    <t>Team member environment setup issues</t>
  </si>
  <si>
    <t>Low</t>
  </si>
  <si>
    <t>Block first 2 hrs for collective setup session</t>
  </si>
  <si>
    <t>GoRouter learning curve</t>
  </si>
  <si>
    <t>Fallback to standard Navigator 2.0 if GoRouter takes &gt;4 hrs</t>
  </si>
  <si>
    <t>Sprint 2: Authentication + Dashboard</t>
  </si>
  <si>
    <t>Goal: Students can register, log in, and land on a personalized dashboard. Admins have a separate local entry.</t>
  </si>
  <si>
    <t>UserModel: fromMap(), toMap(), copyWith()</t>
  </si>
  <si>
    <t>Immutable; role field: 'student' | 'admin'</t>
  </si>
  <si>
    <t>AuthService: register(), login(), logout(), getCurrentUser()</t>
  </si>
  <si>
    <t>SHA-256 password hash via crypto pkg; validate all inputs</t>
  </si>
  <si>
    <t>Login screen UI (email, password, form validation)</t>
  </si>
  <si>
    <t>Show/hide password; disable button while loading</t>
  </si>
  <si>
    <t>Register screen UI (name, email, password, confirm)</t>
  </si>
  <si>
    <t>Real-time validation; duplicate email check against SQLite</t>
  </si>
  <si>
    <t>Forgot password screen (security question local reset)</t>
  </si>
  <si>
    <t>Store security question + hashed answer in users table</t>
  </si>
  <si>
    <t>AuthProvider (ChangeNotifier): authState, currentUser, errorMessage</t>
  </si>
  <si>
    <t>Wrap app in MultiProvider; redirect based on role</t>
  </si>
  <si>
    <t>Student Dashboard: greeting, stats, recent entries, quick-add FAB</t>
  </si>
  <si>
    <t>FutureBuilder for counts; pull-to-refresh</t>
  </si>
  <si>
    <t>Profile setup screen: avatar (image_picker), bio, school, course</t>
  </si>
  <si>
    <t>Store avatar as local path; display with Image.file() + errorBuilder</t>
  </si>
  <si>
    <t>ProfileService: getProfile(), updateProfile()</t>
  </si>
  <si>
    <t>Separate from AuthService (SRP)</t>
  </si>
  <si>
    <t>Session persistence: auto-login from SharedPreferences</t>
  </si>
  <si>
    <t>On launch, check userId in SharedPreferences → skip login</t>
  </si>
  <si>
    <t>Unit tests: AuthService register/login/logout</t>
  </si>
  <si>
    <t>flutter_test + in-memory SQLite; cover happy + error paths</t>
  </si>
  <si>
    <t>Sprint 2 demo + retrospective</t>
  </si>
  <si>
    <t>Demo: register → login → dashboard with name → logout</t>
  </si>
  <si>
    <t>crypto package compatibility on Android API 21</t>
  </si>
  <si>
    <t>Test SHA-256 on API 21 emulator in first coding session</t>
  </si>
  <si>
    <t>Profile image_picker crash on older Android</t>
  </si>
  <si>
    <t>Wrap in try-catch; fallback to default avatar asset</t>
  </si>
  <si>
    <t>SharedPreferences vs SQLite session debate</t>
  </si>
  <si>
    <t>Decision locked: SharedPreferences for session, SQLite for data</t>
  </si>
  <si>
    <t>Sprint 3: Portfolio CRUD I — Projects &amp; Achievements</t>
  </si>
  <si>
    <t>Goal: Students can fully manage Projects and Achievements with rich text and multi-image upload.</t>
  </si>
  <si>
    <t>ProjectModel: id, userId, title, desc, techStack, dates, tags</t>
  </si>
  <si>
    <t>imageUrls stored as comma-separated local paths string</t>
  </si>
  <si>
    <t>ProjectService: create, getAll, getById, update, delete, search</t>
  </si>
  <si>
    <t>All queries WHERE user_id=?; parameterized only, no string concat</t>
  </si>
  <si>
    <t>ProjectsListScreen: ListView.builder + search bar + filter chips</t>
  </si>
  <si>
    <t>Pagination: LIMIT/OFFSET from first implementation (scalability)</t>
  </si>
  <si>
    <t>AddEditProjectScreen: title, desc, tags, dates, tech stack, images</t>
  </si>
  <si>
    <t>Same screen for add/edit; null projectId = add mode</t>
  </si>
  <si>
    <t>ImageStorageService: saveImage(), deleteImage(), compressImage()</t>
  </si>
  <si>
    <t>flutter_image_compress; max 500KB; max 5 images per project</t>
  </si>
  <si>
    <t>ProjectDetailScreen: full view + image carousel + edit/delete</t>
  </si>
  <si>
    <t>ImageCarousel extracted as reusable widget</t>
  </si>
  <si>
    <t>AchievementModel: id, userId, title, desc, date, type, imagePath</t>
  </si>
  <si>
    <t>type: Academic | Extracurricular | Competition | Other</t>
  </si>
  <si>
    <t>AchievementService: full CRUD + searchByTitle()</t>
  </si>
  <si>
    <t>Mirror ProjectService pattern for consistency</t>
  </si>
  <si>
    <t>AchievementsListScreen + AddEditAchievementScreen</t>
  </si>
  <si>
    <t>Reuse PortfolioCard widget; tag with achievement type chip</t>
  </si>
  <si>
    <t>ProjectProvider + AchievementProvider (ChangeNotifier)</t>
  </si>
  <si>
    <t>Expose loading/error states; refresh list after every CRUD op</t>
  </si>
  <si>
    <t>Reusable widgets: PortfolioCard, EmptyStateWidget, LoadingWidget, TagChip</t>
  </si>
  <si>
    <t>Parameterize via constructor; zero hardcoded strings in widgets</t>
  </si>
  <si>
    <t>Sprint 3 demo + retrospective</t>
  </si>
  <si>
    <t>Demo: add project with 3 images → view → edit → delete</t>
  </si>
  <si>
    <t>Local storage fills with uncompressed images</t>
  </si>
  <si>
    <t>Enforce max 500KB via flutter_image_compress before saving</t>
  </si>
  <si>
    <t>Slow list rendering with 50+ entries</t>
  </si>
  <si>
    <t>Add LIMIT/OFFSET pagination from day 1; never fetchAll()</t>
  </si>
  <si>
    <t>File path breaks after app reinstall</t>
  </si>
  <si>
    <t>Store relative paths; resolve absolute path at runtime via getApplicationDocumentsDirectory()</t>
  </si>
  <si>
    <t>Sprint 4: Portfolio CRUD II — Certificates, Reflections &amp; Skills</t>
  </si>
  <si>
    <t>Goal: Students can log certificates, write reflections, and track skills. Full portfolio is complete.</t>
  </si>
  <si>
    <t>CertificateModel: id, userId, title, issuer, dates, filePath, type</t>
  </si>
  <si>
    <t>type: Online | Physical | Award; filePath = image or scanned doc</t>
  </si>
  <si>
    <t>CertificateService: full CRUD + filterByType() + search</t>
  </si>
  <si>
    <t>Support: All / Online / Physical / Award filter tabs</t>
  </si>
  <si>
    <t>CertificatesListScreen + AddEditCertificateScreen</t>
  </si>
  <si>
    <t>Certificate card shows issuer + expiry badge</t>
  </si>
  <si>
    <t>Document upload for certificates (image_picker + file_picker)</t>
  </si>
  <si>
    <t>Allow JPG, PNG capture; graceful error if file too large</t>
  </si>
  <si>
    <t>ReflectionModel: id, userId, title, body, mood, tags, isPrivate, date</t>
  </si>
  <si>
    <t>isPrivate=1 → hidden from PDF exports</t>
  </si>
  <si>
    <t>ReflectionService: full CRUD + searchByBody() (SQLite LIKE or FTS5)</t>
  </si>
  <si>
    <t>Fallback to LIKE '%query%' if FTS5 unavailable on device</t>
  </si>
  <si>
    <t>ReflectionsListScreen + ReflectionEditorScreen</t>
  </si>
  <si>
    <t>Editor: title + multiline body + mood picker + tags + private toggle</t>
  </si>
  <si>
    <t>SkillModel: id, userId, name, category, rating 1-5, lastUsed</t>
  </si>
  <si>
    <t>category: Technical | Soft Skill | Language | Tool</t>
  </si>
  <si>
    <t>SkillService: full CRUD + sortByRating() + suggestSkillNames()</t>
  </si>
  <si>
    <t>Preset skill list in AppConstants for autocomplete</t>
  </si>
  <si>
    <t>SkillsTrackerScreen: categorized list + rating stars + add/edit modal</t>
  </si>
  <si>
    <t>AnimatedContainer progress bars per skill rating (1–5)</t>
  </si>
  <si>
    <t>CertificateProvider + ReflectionProvider + SkillProvider</t>
  </si>
  <si>
    <t>Consistent provider pattern; expose filteredList getter in each</t>
  </si>
  <si>
    <t>PortfolioOverview tab: aggregate all 4 modules with counts + recent</t>
  </si>
  <si>
    <t>Show: X projects, Y certs, Z reflections, W skills + recent 3 each</t>
  </si>
  <si>
    <t>Sprint 4 demo + retrospective</t>
  </si>
  <si>
    <t>Demo: full portfolio tour — all 4 modules with real data</t>
  </si>
  <si>
    <t>SQLite FTS5 unavailable on some Android versions</t>
  </si>
  <si>
    <t>Fallback to LIKE '%query%' search — implement from start</t>
  </si>
  <si>
    <t>ReflectionEditor scope creep (demanding rich text)</t>
  </si>
  <si>
    <t>Hard limit: plaintext only this sprint. Rich text = backlog.</t>
  </si>
  <si>
    <t>SkillsTracker UX complexity</t>
  </si>
  <si>
    <t>Keep simple: name + rating + category. Iterate in Sprint 8.</t>
  </si>
  <si>
    <t>Sprint 5: Resume / CV Builder</t>
  </si>
  <si>
    <t>Goal: Students generate a Philippine-format resume auto-populated with their own portfolio data.</t>
  </si>
  <si>
    <t>ResumeModel: id, userId, templateId, customSections JSON, isDefault</t>
  </si>
  <si>
    <t>Persist draft to SQLite so users can return and continue</t>
  </si>
  <si>
    <t>Design 3 PH resume templates (paper/Figma before coding)</t>
  </si>
  <si>
    <t>Match PH hiring norms: 2×2 photo, personal details on top, objective</t>
  </si>
  <si>
    <t>ResumeTemplateSimple widget — government/academic style</t>
  </si>
  <si>
    <t>Sections: Personal Info, Objective, Education, Skills, Projects</t>
  </si>
  <si>
    <t>ResumeTemplateProfessional widget — corporate PH style</t>
  </si>
  <si>
    <t>Sections: Header, Summary, Projects/Experience, Certs, Skills, References</t>
  </si>
  <si>
    <t>ResumeTemplateModern widget — fresh grad tech style</t>
  </si>
  <si>
    <t>Two-column layout; skills as chips; accent color from AppTheme</t>
  </si>
  <si>
    <t>ResumeDataService: mapPortfolioToResumeData(userId)</t>
  </si>
  <si>
    <t>User selects which portfolio entries to include per section</t>
  </si>
  <si>
    <t>TemplateSelectionScreen: 3 template preview cards + select CTA</t>
  </si>
  <si>
    <t>Thumbnail preview; 'Use this template' button per card</t>
  </si>
  <si>
    <t>ResumeBuilderScreen: live preview + section toggles + field overrides</t>
  </si>
  <si>
    <t>TK+RB</t>
  </si>
  <si>
    <t>User show/hide sections; edit summary inline; real-time re-render</t>
  </si>
  <si>
    <t>ResumeProvider: selectedTemplate, resumeData, dirtyState</t>
  </si>
  <si>
    <t>Auto-save draft on every change; restore on screen return</t>
  </si>
  <si>
    <t>Photo slot: pick from gallery or use profile photo + 2×2 crop</t>
  </si>
  <si>
    <t>image_cropper for 2×2 ratio; make crop optional (not all resumes need photo)</t>
  </si>
  <si>
    <t>Unit tests: ResumeDataService field mapping accuracy</t>
  </si>
  <si>
    <t>Verify all portfolio fields map correctly to resume fields</t>
  </si>
  <si>
    <t>Sprint 5 demo + retrospective</t>
  </si>
  <si>
    <t>Demo: select template → auto-fill from portfolio → live preview</t>
  </si>
  <si>
    <t>Resume layout breaks on different screen sizes</t>
  </si>
  <si>
    <t>Use LayoutBuilder + constraints; test on 4.7" 5.5" 6.5" screens</t>
  </si>
  <si>
    <t>image_cropper not working on low-end Android</t>
  </si>
  <si>
    <t>Make cropping optional; uncropped fallback always available</t>
  </si>
  <si>
    <t>Section ordering complexity</t>
  </si>
  <si>
    <t>Fixed order in Sprint 5. Drag-to-reorder goes to backlog.</t>
  </si>
  <si>
    <t>Sprint 6: PDF Export + UI Polish</t>
  </si>
  <si>
    <t>Goal: Every resume and portfolio is exportable as a formatted PDF. App UI feels polished and professional.</t>
  </si>
  <si>
    <t>PdfService: generateResumePdf(resumeData, templateId) — pdf package</t>
  </si>
  <si>
    <t>Register TTF font (Roboto/Nunito) FIRST to handle Filipino characters</t>
  </si>
  <si>
    <t>PDF layout for Template I (Simple) — mirror Flutter widget layout</t>
  </si>
  <si>
    <t>Use pw.Page, pw.Column, pw.Text with registered fonts</t>
  </si>
  <si>
    <t>PDF layout for Template II (Professional)</t>
  </si>
  <si>
    <t>Dividers, bold headers, PH resume structure preserved</t>
  </si>
  <si>
    <t>PDF layout for Template III (Modern)</t>
  </si>
  <si>
    <t>Two-column pw.Row; skill bars as pw.Container width ratio</t>
  </si>
  <si>
    <t>PdfExportScreen: preview (printing pkg) + save to Downloads</t>
  </si>
  <si>
    <t>path_provider for Downloads path; show file size after save</t>
  </si>
  <si>
    <t>Share PDF via Android share sheet (share_plus)</t>
  </si>
  <si>
    <t>One tap → share via Drive, Gmail, WhatsApp, etc.</t>
  </si>
  <si>
    <t>Portfolio PDF export (all entries as structured PDF document)</t>
  </si>
  <si>
    <t>Separate from resume; includes project images embedded</t>
  </si>
  <si>
    <t>ExportHistoryService: log exports to audit table</t>
  </si>
  <si>
    <t>SQLite export_history table; shown in Profile as 'My Exports'</t>
  </si>
  <si>
    <t>UI Polish pass: spacing, loading skeletons, error states all screens</t>
  </si>
  <si>
    <t>Shimmer skeleton loaders on every list screen</t>
  </si>
  <si>
    <t>Micro-animations: page transitions, FAB, card tap feedback</t>
  </si>
  <si>
    <t>AnimatedContainer, Hero widgets; keep subtle and purposeful</t>
  </si>
  <si>
    <t>Empty state illustrations for all list screens</t>
  </si>
  <si>
    <t>Lottie animation or simple SVG + 'Tap + to add' message</t>
  </si>
  <si>
    <t>Accessibility pass: semantics labels, contrast, font scaling</t>
  </si>
  <si>
    <t>Critical for capstone panel; demonstrates engineering maturity</t>
  </si>
  <si>
    <t>Sprint 6 demo + retrospective</t>
  </si>
  <si>
    <t>Demo: portfolio entry → resume → export PDF → open file on device</t>
  </si>
  <si>
    <t>pdf package font issue with Filipino characters (ñ, special chars)</t>
  </si>
  <si>
    <t>Register Roboto TTF font in PdfService before building any layout</t>
  </si>
  <si>
    <t>PDF with images = file size &gt; 10 MB</t>
  </si>
  <si>
    <t>Compress images before embedding; offer 'no images' export option</t>
  </si>
  <si>
    <t>printing pkg preview blank on some Android versions</t>
  </si>
  <si>
    <t>Test on API 21, 28, 33 in week 11; fallback to open-file intent</t>
  </si>
  <si>
    <t>Sprint 7: Admin Panel + Security</t>
  </si>
  <si>
    <t>Goal: Admin monitors all portfolio data locally. App secured with PIN + optional biometric.</t>
  </si>
  <si>
    <t>Admin seeding: setup wizard on first launch (or hardcoded seed admin)</t>
  </si>
  <si>
    <t>role='admin' in users table; setup wizard creates admin on install</t>
  </si>
  <si>
    <t>Admin login screen (separate PIN/password + admin badge UI)</t>
  </si>
  <si>
    <t>Show 'Admin Mode' banner; different color scheme for admin screens</t>
  </si>
  <si>
    <t>AdminDashboard: total users, portfolios, exports, storage used</t>
  </si>
  <si>
    <t>Read-only SQLite aggregates; auto-refresh on focus</t>
  </si>
  <si>
    <t>AdminUserListScreen: all students + portfolio counts + search</t>
  </si>
  <si>
    <t>Tap student → view their portfolio summary (read-only)</t>
  </si>
  <si>
    <t>AdminPortfolioViewScreen: read-only view of any student's portfolio</t>
  </si>
  <si>
    <t>Reuse existing screens; disable all edit/delete buttons for admin role</t>
  </si>
  <si>
    <t>AdminDataManagementScreen: delete user, export all data, wipe DB</t>
  </si>
  <si>
    <t>Confirmation dialog on ALL destructive actions; log to audit_log</t>
  </si>
  <si>
    <t>BackupService: export full SQLite DB as .db file to Downloads</t>
  </si>
  <si>
    <t>For device migration; include schema version in filename</t>
  </si>
  <si>
    <t>RestoreService: import .db backup (schema version validation)</t>
  </si>
  <si>
    <t>Validate version before import; warn on mismatch; never auto-overwrite</t>
  </si>
  <si>
    <t>App PIN lock screen: 4-digit PIN, auto-lock after 5 min idle</t>
  </si>
  <si>
    <t>Store hashed PIN in SharedPreferences; 5 attempts → lock 30 min</t>
  </si>
  <si>
    <t>BiometricService: optional fingerprint auth (local_auth pkg)</t>
  </si>
  <si>
    <t>Graceful fallback to PIN if biometric unavailable; never crash</t>
  </si>
  <si>
    <t>Input sanitization audit: review all SQL queries in all services</t>
  </si>
  <si>
    <t>Zero string concatenation in SQL; all values via ? placeholders</t>
  </si>
  <si>
    <t>Audit log: track login attempts, failed PINs, admin actions</t>
  </si>
  <si>
    <t>audit_log table; shown ONLY in admin panel; append-only</t>
  </si>
  <si>
    <t>Sprint 7 demo + retrospective</t>
  </si>
  <si>
    <t>Demo: admin login → view all students → backup DB → restore</t>
  </si>
  <si>
    <t>local_auth not working on emulator</t>
  </si>
  <si>
    <t>Biometric is optional; PIN always works; skip biometric on emulator</t>
  </si>
  <si>
    <t>DB restore corrupting live data</t>
  </si>
  <si>
    <t>Restore to temp path → validate row counts → swap files</t>
  </si>
  <si>
    <t>Admin panel scope creep (analytics dashboards)</t>
  </si>
  <si>
    <t>Strictly: aggregate stats + backup/restore only. No charts this sprint.</t>
  </si>
  <si>
    <t>Sprint 8: QA, Bug Fixes &amp; APK Release</t>
  </si>
  <si>
    <t>Goal: Ship a stable, tested, signed Android APK ready for capstone presentation.</t>
  </si>
  <si>
    <t>Full regression test pass (manual end-to-end all user flows)</t>
  </si>
  <si>
    <t>Test script: register → add all entry types → export PDF → admin panel</t>
  </si>
  <si>
    <t>Unit tests for all Services (target ≥80% service layer coverage)</t>
  </si>
  <si>
    <t>mockito + flutter_test; cover happy path + error path per method</t>
  </si>
  <si>
    <t>Widget tests: Login, Dashboard, ResumeBuilderScreen</t>
  </si>
  <si>
    <t>pumpWidget + navigation test + state change assertions</t>
  </si>
  <si>
    <t>Bug fix sprint: Critical → High → Medium (skip Low)</t>
  </si>
  <si>
    <t>Triage all issues; document known Low bugs in README 'Known Issues'</t>
  </si>
  <si>
    <t>Performance profiling: Flutter DevTools (fps, memory, DB query times)</t>
  </si>
  <si>
    <t>Target: 60fps mid-range Android; all DB queries &lt; 50ms</t>
  </si>
  <si>
    <t>Fix performance regressions from profiling</t>
  </si>
  <si>
    <t>Const widgets, lazy loading, SQL EXPLAIN QUERY PLAN for slow queries</t>
  </si>
  <si>
    <t>Final UI pass: typography, spacing, icon sizes — all screens</t>
  </si>
  <si>
    <t>Cross-check every screen against AppConstants; zero hardcoded values</t>
  </si>
  <si>
    <t>Keystore generation + app signing config</t>
  </si>
  <si>
    <t>Store keystore + password in ALL 3 members' Google Drive immediately</t>
  </si>
  <si>
    <t>flutter build apk --release --split-per-abi</t>
  </si>
  <si>
    <t>Build arm64-v8a, armeabi-v7a; test arm64 APK on physical device first</t>
  </si>
  <si>
    <t>Install + test release APK on 2 physical Android devices</t>
  </si>
  <si>
    <t>Minimum: Android 8 (API 26) and Android 13 (API 33)</t>
  </si>
  <si>
    <t>Documentation: README, 1-page user manual, DB schema diagram</t>
  </si>
  <si>
    <t>Panel judges ask about architecture; rehearse answers</t>
  </si>
  <si>
    <t>Capstone presentation slides + demo script + Q&amp;A rehearsal</t>
  </si>
  <si>
    <t>Each member owns a section: intro / features / technical deep-dive</t>
  </si>
  <si>
    <t>Final retrospective: lessons learned, what to keep, future roadmap</t>
  </si>
  <si>
    <t>Document for thesis paper and future reference</t>
  </si>
  <si>
    <t>Critical bugs discovered late in regression</t>
  </si>
  <si>
    <t>Fix Critical + High only; document Medium/Low as known issues</t>
  </si>
  <si>
    <t>Release APK &gt; 50 MB</t>
  </si>
  <si>
    <t>Enable R8/ProGuard; use --split-per-abi to reduce per-arch size</t>
  </si>
  <si>
    <t>Keystore file lost after project completion</t>
  </si>
  <si>
    <t>Back up keystore + password to ALL 3 members' personal Google Drive NOW</t>
  </si>
  <si>
    <t>PortFolioPH — Master Sprint Tracker</t>
  </si>
  <si>
    <t>Single Source of Truth · Update after every sprint retrospective</t>
  </si>
  <si>
    <t>Budget Hrs</t>
  </si>
  <si>
    <t>TK Hrs</t>
  </si>
  <si>
    <t>ML Hrs</t>
  </si>
  <si>
    <t>RB Hrs</t>
  </si>
  <si>
    <t>Total Used</t>
  </si>
  <si>
    <t>Progress %</t>
  </si>
  <si>
    <t>Risk Level</t>
  </si>
  <si>
    <t>Next Demo</t>
  </si>
  <si>
    <t>Splash + nav scaffold</t>
  </si>
  <si>
    <t>Establish architecture</t>
  </si>
  <si>
    <t>Auth flow + Dashboard</t>
  </si>
  <si>
    <t>Validate DB service</t>
  </si>
  <si>
    <t>Projects + Achievements CRUD</t>
  </si>
  <si>
    <t>First real data entry</t>
  </si>
  <si>
    <t>Full portfolio coverage</t>
  </si>
  <si>
    <t>All 4 modules working</t>
  </si>
  <si>
    <t>Resume preview live</t>
  </si>
  <si>
    <t>Most complex sprint</t>
  </si>
  <si>
    <t>PDF export working</t>
  </si>
  <si>
    <t>Feature complete</t>
  </si>
  <si>
    <t>Admin + security demo</t>
  </si>
  <si>
    <t>Pre-release hardening</t>
  </si>
  <si>
    <t>Final APK + capstone</t>
  </si>
  <si>
    <t>Release ✔</t>
  </si>
  <si>
    <t>→ Target: 768 hrs</t>
  </si>
  <si>
    <t>Class Time Integration Schedule</t>
  </si>
  <si>
    <t>MTh 4–5:30 PM (3 hrs/session) · W 3–5 PM (2 hrs/session) · 7.5 hrs/week</t>
  </si>
  <si>
    <t>Week</t>
  </si>
  <si>
    <t>Day</t>
  </si>
  <si>
    <t>Time</t>
  </si>
  <si>
    <t>Activity</t>
  </si>
  <si>
    <t>Hrs</t>
  </si>
  <si>
    <t>Deliverable</t>
  </si>
  <si>
    <t>1</t>
  </si>
  <si>
    <t>Mon/Thu</t>
  </si>
  <si>
    <t>4–5:30 PM</t>
  </si>
  <si>
    <t>Sprint 1 kickoff, project init, assign tasks</t>
  </si>
  <si>
    <t>S1</t>
  </si>
  <si>
    <t>Repo + pubspec.yaml live</t>
  </si>
  <si>
    <t>Wed</t>
  </si>
  <si>
    <t>3–5 PM</t>
  </si>
  <si>
    <t>DB schema design session (all 3 together)</t>
  </si>
  <si>
    <t>Signed-off ERD</t>
  </si>
  <si>
    <t>2</t>
  </si>
  <si>
    <t>Navigation + AppTheme implementation</t>
  </si>
  <si>
    <t>AppRouter + AppTheme pushed</t>
  </si>
  <si>
    <t>Sprint 1 demo + Sprint 2 planning</t>
  </si>
  <si>
    <t>S1→S2</t>
  </si>
  <si>
    <t>Sprint 1 complete ✔</t>
  </si>
  <si>
    <t>3</t>
  </si>
  <si>
    <t>AuthService + login/register screens</t>
  </si>
  <si>
    <t>S2</t>
  </si>
  <si>
    <t>Auth UI running</t>
  </si>
  <si>
    <t>Dashboard screen + ProfileService</t>
  </si>
  <si>
    <t>Dashboard with mock data</t>
  </si>
  <si>
    <t>4</t>
  </si>
  <si>
    <t>Session persistence + profile setup</t>
  </si>
  <si>
    <t>Auto-login working</t>
  </si>
  <si>
    <t>Sprint 2 demo + Sprint 3 planning</t>
  </si>
  <si>
    <t>S2→S3</t>
  </si>
  <si>
    <t>Sprint 2 complete ✔</t>
  </si>
  <si>
    <t>5</t>
  </si>
  <si>
    <t>ProjectModel + ProjectService CRUD</t>
  </si>
  <si>
    <t>S3</t>
  </si>
  <si>
    <t>Projects DB ops</t>
  </si>
  <si>
    <t>Multi-image picker + ProjectsListScreen</t>
  </si>
  <si>
    <t>List with real images</t>
  </si>
  <si>
    <t>6</t>
  </si>
  <si>
    <t>AchievementService + AchievementScreen</t>
  </si>
  <si>
    <t>Achievements CRUD done</t>
  </si>
  <si>
    <t>Sprint 3 demo + Sprint 4 planning</t>
  </si>
  <si>
    <t>S3→S4</t>
  </si>
  <si>
    <t>Sprint 3 complete ✔</t>
  </si>
  <si>
    <t>7</t>
  </si>
  <si>
    <t>CertificateModel + document upload</t>
  </si>
  <si>
    <t>S4</t>
  </si>
  <si>
    <t>Certs with file picker</t>
  </si>
  <si>
    <t>ReflectionEditor + SkillsTracker screen</t>
  </si>
  <si>
    <t>Both screens functional</t>
  </si>
  <si>
    <t>8</t>
  </si>
  <si>
    <t>PortfolioOverview aggregate screen</t>
  </si>
  <si>
    <t>All 4 modules visible</t>
  </si>
  <si>
    <t>Sprint 4 demo + Sprint 5 planning</t>
  </si>
  <si>
    <t>S4→S5</t>
  </si>
  <si>
    <t>Sprint 4 complete ✔</t>
  </si>
  <si>
    <t>9</t>
  </si>
  <si>
    <t>Resume template design + widget build</t>
  </si>
  <si>
    <t>S5</t>
  </si>
  <si>
    <t>Template I rendered</t>
  </si>
  <si>
    <t>ResumeDataService mapping</t>
  </si>
  <si>
    <t>Portfolio → resume mapped</t>
  </si>
  <si>
    <t>10</t>
  </si>
  <si>
    <t>ResumeBuilderScreen live preview</t>
  </si>
  <si>
    <t>Live resume preview</t>
  </si>
  <si>
    <t>Sprint 5 demo + Sprint 6 planning</t>
  </si>
  <si>
    <t>S5→S6</t>
  </si>
  <si>
    <t>Sprint 5 complete ✔</t>
  </si>
  <si>
    <t>11</t>
  </si>
  <si>
    <t>PdfService per template (I &amp; II)</t>
  </si>
  <si>
    <t>S6</t>
  </si>
  <si>
    <t>PDF I+II generating</t>
  </si>
  <si>
    <t>PDF Template III + PdfExportScreen</t>
  </si>
  <si>
    <t>All 3 templates export</t>
  </si>
  <si>
    <t>12</t>
  </si>
  <si>
    <t>UI polish pass + skeleton loaders</t>
  </si>
  <si>
    <t>Polished UI</t>
  </si>
  <si>
    <t>Sprint 6 demo + Sprint 7 planning</t>
  </si>
  <si>
    <t>S6→S7</t>
  </si>
  <si>
    <t>Sprint 6 complete ✔</t>
  </si>
  <si>
    <t>13</t>
  </si>
  <si>
    <t>Admin login + AdminDashboard screen</t>
  </si>
  <si>
    <t>S7</t>
  </si>
  <si>
    <t>Admin panel visible</t>
  </si>
  <si>
    <t>BackupService + RestoreService</t>
  </si>
  <si>
    <t>DB backup working</t>
  </si>
  <si>
    <t>14</t>
  </si>
  <si>
    <t>PIN lock + BiometricService</t>
  </si>
  <si>
    <t>App secured</t>
  </si>
  <si>
    <t>Sprint 7 demo + Sprint 8 planning</t>
  </si>
  <si>
    <t>S7→S8</t>
  </si>
  <si>
    <t>Sprint 7 complete ✔</t>
  </si>
  <si>
    <t>15</t>
  </si>
  <si>
    <t>Full regression test pass</t>
  </si>
  <si>
    <t>S8</t>
  </si>
  <si>
    <t>Test log complete</t>
  </si>
  <si>
    <t>Bug fix sprint (Critical + High only)</t>
  </si>
  <si>
    <t>0 critical bugs</t>
  </si>
  <si>
    <t>16</t>
  </si>
  <si>
    <t>APK signing + capstone rehearsal</t>
  </si>
  <si>
    <t>Signed APK ready</t>
  </si>
  <si>
    <t>🎓 CAPSTONE PRESENTATION</t>
  </si>
  <si>
    <t>Final</t>
  </si>
  <si>
    <t>APK submitted ✔</t>
  </si>
  <si>
    <t>⏱  Class time: 7.5 hrs/week × 16 weeks = 120 hrs  |  Independent work: 768 – 120 = 648 hrs outside class</t>
  </si>
  <si>
    <t>Technology Dependency Manifest</t>
  </si>
  <si>
    <t>Verify ALL packages before Sprint 3 to avoid mid-project blockers</t>
  </si>
  <si>
    <t>Package</t>
  </si>
  <si>
    <t>Version</t>
  </si>
  <si>
    <t>Used In</t>
  </si>
  <si>
    <t>Verified</t>
  </si>
  <si>
    <t>sqflite</t>
  </si>
  <si>
    <t>^2.3.0</t>
  </si>
  <si>
    <t>All Sprints</t>
  </si>
  <si>
    <t>[ ]</t>
  </si>
  <si>
    <t>Core DB; test on Android API 21+</t>
  </si>
  <si>
    <t>path_provider</t>
  </si>
  <si>
    <t>^2.1.0</t>
  </si>
  <si>
    <t>Required by sqflite for file paths</t>
  </si>
  <si>
    <t>provider</t>
  </si>
  <si>
    <t>^6.1.0</t>
  </si>
  <si>
    <t>State management (ChangeNotifier)</t>
  </si>
  <si>
    <t>go_router</t>
  </si>
  <si>
    <t>^13.2.0</t>
  </si>
  <si>
    <t>Sprint 1+</t>
  </si>
  <si>
    <t>Named routes; fallback to Navigator 2.0</t>
  </si>
  <si>
    <t>shared_preferences</t>
  </si>
  <si>
    <t>^2.2.2</t>
  </si>
  <si>
    <t>Sprint 2+</t>
  </si>
  <si>
    <t>Session tokens + PIN hash storage</t>
  </si>
  <si>
    <t>permission_handler</t>
  </si>
  <si>
    <t>^11.3.0</t>
  </si>
  <si>
    <t>Runtime permissions for storage/camera</t>
  </si>
  <si>
    <t>image_picker</t>
  </si>
  <si>
    <t>^1.0.7</t>
  </si>
  <si>
    <t>Sprint 3+</t>
  </si>
  <si>
    <t>Camera + gallery; test on API 21–34</t>
  </si>
  <si>
    <t>file_picker</t>
  </si>
  <si>
    <t>^6.1.1</t>
  </si>
  <si>
    <t>Sprint 4+</t>
  </si>
  <si>
    <t>Certificate doc uploads (JPG, PNG)</t>
  </si>
  <si>
    <t>image_cropper</t>
  </si>
  <si>
    <t>^5.0.1</t>
  </si>
  <si>
    <t>Sprint 5+</t>
  </si>
  <si>
    <t>2×2 photo crop for resume photo slot</t>
  </si>
  <si>
    <t>pdf</t>
  </si>
  <si>
    <t>^3.10.8</t>
  </si>
  <si>
    <t>Sprint 6</t>
  </si>
  <si>
    <t>Register TTF font EARLY — test Filipino chars</t>
  </si>
  <si>
    <t>printing</t>
  </si>
  <si>
    <t>^5.12.0</t>
  </si>
  <si>
    <t>PDF preview; test on API 21, 28, 33</t>
  </si>
  <si>
    <t>share_plus</t>
  </si>
  <si>
    <t>^7.2.1</t>
  </si>
  <si>
    <t>Sprint 6+</t>
  </si>
  <si>
    <t>Android share sheet for PDF</t>
  </si>
  <si>
    <t>local_auth</t>
  </si>
  <si>
    <t>^2.1.8</t>
  </si>
  <si>
    <t>Sprint 7</t>
  </si>
  <si>
    <t>Biometric optional; always fallback to PIN</t>
  </si>
  <si>
    <t>shimmer</t>
  </si>
  <si>
    <t>^3.0.0</t>
  </si>
  <si>
    <t>Skeleton loaders on list screens</t>
  </si>
  <si>
    <t>flutter_image_compress</t>
  </si>
  <si>
    <t>^2.0.0</t>
  </si>
  <si>
    <t>Enforce max 500KB before saving images</t>
  </si>
  <si>
    <t>mockito</t>
  </si>
  <si>
    <t>^5.4.4</t>
  </si>
  <si>
    <t>Sprint 8</t>
  </si>
  <si>
    <t>Unit test mocking</t>
  </si>
  <si>
    <t>flutter_test</t>
  </si>
  <si>
    <t>SDK</t>
  </si>
  <si>
    <t>Sprint 2, 5, 8</t>
  </si>
  <si>
    <t>Built-in; no install needed</t>
  </si>
  <si>
    <t>crypto</t>
  </si>
  <si>
    <t>^3.0.3</t>
  </si>
  <si>
    <t>SHA-256 password hashing (local)</t>
  </si>
  <si>
    <t>⚠  Add packages to pubspec.yaml in Sprint 1. Run `flutter pub get` and test critical ones (pdf, printing, image_picker) BEFORE Sprint 3.</t>
  </si>
  <si>
    <t>SQLite Database Schema (ERD)</t>
  </si>
  <si>
    <t>All tables use INTEGER PRIMARY KEY AUTOINCREMENT · FK enforced at app layer</t>
  </si>
  <si>
    <t>TABLE: USERS</t>
  </si>
  <si>
    <t xml:space="preserve">  Stores both students and admins. role column differentiates.</t>
  </si>
  <si>
    <t>Column</t>
  </si>
  <si>
    <t>Type</t>
  </si>
  <si>
    <t>Nullable</t>
  </si>
  <si>
    <t>Key</t>
  </si>
  <si>
    <t>References</t>
  </si>
  <si>
    <t>id</t>
  </si>
  <si>
    <t>INTEGER PK</t>
  </si>
  <si>
    <t>NOT NULL</t>
  </si>
  <si>
    <t>PK</t>
  </si>
  <si>
    <t>Auto-increment</t>
  </si>
  <si>
    <t>name</t>
  </si>
  <si>
    <t>TEXT</t>
  </si>
  <si>
    <t>Full name</t>
  </si>
  <si>
    <t>email</t>
  </si>
  <si>
    <t>UNIQUE</t>
  </si>
  <si>
    <t>Login identifier</t>
  </si>
  <si>
    <t>password_hash</t>
  </si>
  <si>
    <t>SHA-256 hashed</t>
  </si>
  <si>
    <t>role</t>
  </si>
  <si>
    <t>'student' | 'admin'</t>
  </si>
  <si>
    <t>avatar_path</t>
  </si>
  <si>
    <t>NULL</t>
  </si>
  <si>
    <t>Local file path</t>
  </si>
  <si>
    <t>bio</t>
  </si>
  <si>
    <t>Short bio</t>
  </si>
  <si>
    <t>school</t>
  </si>
  <si>
    <t>Institution name</t>
  </si>
  <si>
    <t>year_level</t>
  </si>
  <si>
    <t>e.g. '3rd Year'</t>
  </si>
  <si>
    <t>course</t>
  </si>
  <si>
    <t>e.g. 'BSIT'</t>
  </si>
  <si>
    <t>pin_hash</t>
  </si>
  <si>
    <t>4-digit PIN (SHA-256)</t>
  </si>
  <si>
    <t>security_question</t>
  </si>
  <si>
    <t>For PIN reset</t>
  </si>
  <si>
    <t>security_answer_hash</t>
  </si>
  <si>
    <t>Hashed answer</t>
  </si>
  <si>
    <t>created_at</t>
  </si>
  <si>
    <t>ISO 8601 timestamp</t>
  </si>
  <si>
    <t>updated_at</t>
  </si>
  <si>
    <t>TABLE: PROJECTS</t>
  </si>
  <si>
    <t xml:space="preserve">  Student portfolio projects. Multiple images via project_images table.</t>
  </si>
  <si>
    <t>user_id</t>
  </si>
  <si>
    <t>INTEGER</t>
  </si>
  <si>
    <t>FK</t>
  </si>
  <si>
    <t>users.id</t>
  </si>
  <si>
    <t>CASCADE DELETE</t>
  </si>
  <si>
    <t>title</t>
  </si>
  <si>
    <t>Project title</t>
  </si>
  <si>
    <t>description</t>
  </si>
  <si>
    <t>Full description</t>
  </si>
  <si>
    <t>tech_stack</t>
  </si>
  <si>
    <t>Comma-separated</t>
  </si>
  <si>
    <t>tags</t>
  </si>
  <si>
    <t>JSON array string</t>
  </si>
  <si>
    <t>start_date</t>
  </si>
  <si>
    <t>YYYY-MM-DD</t>
  </si>
  <si>
    <t>end_date</t>
  </si>
  <si>
    <t>NULL if ongoing</t>
  </si>
  <si>
    <t>project_url</t>
  </si>
  <si>
    <t>Optional link</t>
  </si>
  <si>
    <t>TABLE: PROJECT_IMAGES</t>
  </si>
  <si>
    <t xml:space="preserve">  One-to-many images per project (max 5).</t>
  </si>
  <si>
    <t>project_id</t>
  </si>
  <si>
    <t>projects.id</t>
  </si>
  <si>
    <t>file_path</t>
  </si>
  <si>
    <t>Local absolute path</t>
  </si>
  <si>
    <t>sort_order</t>
  </si>
  <si>
    <t>Display order 0–4</t>
  </si>
  <si>
    <t>TABLE: ACHIEVEMENTS</t>
  </si>
  <si>
    <t xml:space="preserve">  Awards, recognitions, academic achievements.</t>
  </si>
  <si>
    <t>date_achieved</t>
  </si>
  <si>
    <t>type</t>
  </si>
  <si>
    <t>Academic|Extracurricular|Competition|Other</t>
  </si>
  <si>
    <t>image_path</t>
  </si>
  <si>
    <t>Optional photo</t>
  </si>
  <si>
    <t>TABLE: CERTIFICATES</t>
  </si>
  <si>
    <t xml:space="preserve">  Digital or physical certificates with optional file attachment.</t>
  </si>
  <si>
    <t>issuer</t>
  </si>
  <si>
    <t>Issuing organization</t>
  </si>
  <si>
    <t>issue_date</t>
  </si>
  <si>
    <t>expiry_date</t>
  </si>
  <si>
    <t>NULL if no expiry</t>
  </si>
  <si>
    <t>Image or scanned PDF path</t>
  </si>
  <si>
    <t>Online|Physical|Award</t>
  </si>
  <si>
    <t>TABLE: REFLECTIONS</t>
  </si>
  <si>
    <t xml:space="preserve">  Personal journal/reflection entries. isPrivate hides from PDF.</t>
  </si>
  <si>
    <t>body</t>
  </si>
  <si>
    <t>Plaintext content</t>
  </si>
  <si>
    <t>mood</t>
  </si>
  <si>
    <t>Happy|Motivated|Challenged|Neutral</t>
  </si>
  <si>
    <t>is_private</t>
  </si>
  <si>
    <t>0 = public, 1 = private</t>
  </si>
  <si>
    <t>date</t>
  </si>
  <si>
    <t>TABLE: SKILLS</t>
  </si>
  <si>
    <t xml:space="preserve">  Student skill inventory with self-rating.</t>
  </si>
  <si>
    <t>e.g. 'Flutter', 'SQL'</t>
  </si>
  <si>
    <t>category</t>
  </si>
  <si>
    <t>Technical|Soft Skill|Language|Tool</t>
  </si>
  <si>
    <t>rating</t>
  </si>
  <si>
    <t>1–5 scale</t>
  </si>
  <si>
    <t>last_used</t>
  </si>
  <si>
    <t>TABLE: RESUMES</t>
  </si>
  <si>
    <t xml:space="preserve">  Saved resume drafts. One student can have multiple saved drafts.</t>
  </si>
  <si>
    <t>template_id</t>
  </si>
  <si>
    <t>1=Simple 2=Pro 3=Modern</t>
  </si>
  <si>
    <t>custom_sections</t>
  </si>
  <si>
    <t>JSON for section config</t>
  </si>
  <si>
    <t>summary_override</t>
  </si>
  <si>
    <t>User-edited summary text</t>
  </si>
  <si>
    <t>is_default</t>
  </si>
  <si>
    <t>1 = default draft</t>
  </si>
  <si>
    <t>generated_at</t>
  </si>
  <si>
    <t>Last generated timestamp</t>
  </si>
  <si>
    <t>TABLE: EXPORT_HISTORY</t>
  </si>
  <si>
    <t xml:space="preserve">  Log of all PDF exports for audit trail.</t>
  </si>
  <si>
    <t>export_type</t>
  </si>
  <si>
    <t>resume|portfolio</t>
  </si>
  <si>
    <t>1–3 for resume exports</t>
  </si>
  <si>
    <t>Saved export file path</t>
  </si>
  <si>
    <t>exported_at</t>
  </si>
  <si>
    <t>TABLE: AUDIT_LOG</t>
  </si>
  <si>
    <t xml:space="preserve">  Admin-only security and action log.</t>
  </si>
  <si>
    <t>SET NULL on delete</t>
  </si>
  <si>
    <t>action</t>
  </si>
  <si>
    <t>login|logout|pin_fail|admin_*</t>
  </si>
  <si>
    <t>target</t>
  </si>
  <si>
    <t>Affected entity description</t>
  </si>
  <si>
    <t>timestamp</t>
  </si>
  <si>
    <t>ISO 8601</t>
  </si>
  <si>
    <t>ip_note</t>
  </si>
  <si>
    <t>Device model note</t>
  </si>
  <si>
    <t>Flutter Project Folder &amp; File Scaffold</t>
  </si>
  <si>
    <t>Create ALL files in Sprint 1. Placeholder files lock architecture and prevent import chaos.</t>
  </si>
  <si>
    <t>File Path</t>
  </si>
  <si>
    <t>Sprint Created</t>
  </si>
  <si>
    <t>Owner</t>
  </si>
  <si>
    <t>Purpose / Contents</t>
  </si>
  <si>
    <t>lib/main.dart</t>
  </si>
  <si>
    <t>Entry point ONLY — runApp(PortFolioPHApp()). Zero business logic here.</t>
  </si>
  <si>
    <t>lib/app.dart</t>
  </si>
  <si>
    <t>MaterialApp.router with GoRouter, ThemeData, and top-level providers.</t>
  </si>
  <si>
    <t>lib/config/app_constants.dart</t>
  </si>
  <si>
    <t>ALL magic values: colors (hex), paddings, font sizes, DB name/version, max image count.</t>
  </si>
  <si>
    <t>lib/config/app_theme.dart</t>
  </si>
  <si>
    <t>ThemeData light + dark. Uses values from AppConstants. Never hardcode in widgets.</t>
  </si>
  <si>
    <t>lib/config/app_router.dart</t>
  </si>
  <si>
    <t>GoRouter config with ALL named routes and redirect guards (auth check).</t>
  </si>
  <si>
    <t>lib/models/user_model.dart</t>
  </si>
  <si>
    <t>UserModel: fromMap(), toMap(), copyWith(). Immutable.</t>
  </si>
  <si>
    <t>lib/models/project_model.dart</t>
  </si>
  <si>
    <t>ProjectModel with imageUrls as List&lt;String&gt;.</t>
  </si>
  <si>
    <t>lib/models/achievement_model.dart</t>
  </si>
  <si>
    <t>AchievementModel with type enum.</t>
  </si>
  <si>
    <t>lib/models/certificate_model.dart</t>
  </si>
  <si>
    <t>CertificateModel with filePath for image/doc.</t>
  </si>
  <si>
    <t>lib/models/reflection_model.dart</t>
  </si>
  <si>
    <t>ReflectionModel with isPrivate bool.</t>
  </si>
  <si>
    <t>lib/models/skill_model.dart</t>
  </si>
  <si>
    <t>SkillModel with rating 1–5 and category enum.</t>
  </si>
  <si>
    <t>lib/models/resume_model.dart</t>
  </si>
  <si>
    <t>ResumeModel with templateId and customSections JSON.</t>
  </si>
  <si>
    <t>lib/models/export_history_model.dart</t>
  </si>
  <si>
    <t>ExportHistoryModel for audit log.</t>
  </si>
  <si>
    <t>lib/services/database_service.dart</t>
  </si>
  <si>
    <t>Singleton. open(), close(), getDatabase(). Runs all migrations.</t>
  </si>
  <si>
    <t>lib/services/auth_service.dart</t>
  </si>
  <si>
    <t>register(), login(), logout(), getCurrentUser(). Uses crypto for hashing.</t>
  </si>
  <si>
    <t>lib/services/profile_service.dart</t>
  </si>
  <si>
    <t>getProfile(), updateProfile(). Separate from auth (SRP).</t>
  </si>
  <si>
    <t>lib/services/project_service.dart</t>
  </si>
  <si>
    <t>createProject(), getAllProjects(userId), updateProject(), deleteProject(), searchProjects().</t>
  </si>
  <si>
    <t>lib/services/image_storage_service.dart</t>
  </si>
  <si>
    <t>saveImageToLocal(), deleteImage(), compressImage(). Max 500KB enforced.</t>
  </si>
  <si>
    <t>lib/services/achievement_service.dart</t>
  </si>
  <si>
    <t>Full CRUD mirroring ProjectService pattern.</t>
  </si>
  <si>
    <t>lib/services/certificate_service.dart</t>
  </si>
  <si>
    <t>Full CRUD + filterByType().</t>
  </si>
  <si>
    <t>lib/services/reflection_service.dart</t>
  </si>
  <si>
    <t>Full CRUD + searchByBody() using SQLite LIKE.</t>
  </si>
  <si>
    <t>lib/services/skill_service.dart</t>
  </si>
  <si>
    <t>Full CRUD + sortByRating().</t>
  </si>
  <si>
    <t>lib/services/resume_data_service.dart</t>
  </si>
  <si>
    <t>mapPortfolioToResumeData(userId) — pulls all 4 modules.</t>
  </si>
  <si>
    <t>lib/services/pdf_service.dart</t>
  </si>
  <si>
    <t>generateResumePdf(), generatePortfolioPdf(). One method per template.</t>
  </si>
  <si>
    <t>lib/services/backup_service.dart</t>
  </si>
  <si>
    <t>exportDatabase(), importDatabase() with schema version validation.</t>
  </si>
  <si>
    <t>lib/services/security_service.dart</t>
  </si>
  <si>
    <t>hashPin(), verifyPin(), logAuditEvent(), checkBiometric().</t>
  </si>
  <si>
    <t>lib/providers/auth_provider.dart</t>
  </si>
  <si>
    <t>ChangeNotifier. Exposes authState, currentUser, isLoading, errorMessage.</t>
  </si>
  <si>
    <t>lib/providers/profile_provider.dart</t>
  </si>
  <si>
    <t>Exposes userProfile; calls ProfileService.</t>
  </si>
  <si>
    <t>lib/providers/project_provider.dart</t>
  </si>
  <si>
    <t>Exposes projects list, loading state; refresh after CRUD.</t>
  </si>
  <si>
    <t>lib/providers/achievement_provider.dart</t>
  </si>
  <si>
    <t>Mirror of ProjectProvider pattern.</t>
  </si>
  <si>
    <t>lib/providers/certificate_provider.dart</t>
  </si>
  <si>
    <t>Exposes filteredList getter by type.</t>
  </si>
  <si>
    <t>lib/providers/reflection_provider.dart</t>
  </si>
  <si>
    <t>Exposes searchResults + isPrivate filter.</t>
  </si>
  <si>
    <t>lib/providers/skill_provider.dart</t>
  </si>
  <si>
    <t>Exposes skills sorted by rating.</t>
  </si>
  <si>
    <t>lib/providers/resume_provider.dart</t>
  </si>
  <si>
    <t>Exposes selectedTemplate, resumeData, dirtyState.</t>
  </si>
  <si>
    <t>lib/screens/splash_screen.dart</t>
  </si>
  <si>
    <t>Logo + loading. Checks session → redirect to home or login.</t>
  </si>
  <si>
    <t>lib/screens/auth/login_screen.dart</t>
  </si>
  <si>
    <t>Email + password form. Calls AuthProvider.login().</t>
  </si>
  <si>
    <t>lib/screens/auth/register_screen.dart</t>
  </si>
  <si>
    <t>Full registration form with real-time validation.</t>
  </si>
  <si>
    <t>lib/screens/auth/forgot_password_screen.dart</t>
  </si>
  <si>
    <t>Security question answer → reset local password.</t>
  </si>
  <si>
    <t>lib/screens/home/dashboard_screen.dart</t>
  </si>
  <si>
    <t>Stats overview + recent entries + quick-add FAB.</t>
  </si>
  <si>
    <t>lib/screens/profile/profile_setup_screen.dart</t>
  </si>
  <si>
    <t>Avatar + bio + school + course setup.</t>
  </si>
  <si>
    <t>lib/screens/portfolio/projects_list_screen.dart</t>
  </si>
  <si>
    <t>ListView.builder + search + filter chips.</t>
  </si>
  <si>
    <t>lib/screens/portfolio/add_edit_project_screen.dart</t>
  </si>
  <si>
    <t>Reusable add/edit form; null = add mode.</t>
  </si>
  <si>
    <t>lib/screens/portfolio/project_detail_screen.dart</t>
  </si>
  <si>
    <t>Full project view + image carousel + edit/delete.</t>
  </si>
  <si>
    <t>lib/screens/portfolio/achievements_screen.dart</t>
  </si>
  <si>
    <t>Achievements list + add/edit.</t>
  </si>
  <si>
    <t>lib/screens/portfolio/certificates_screen.dart</t>
  </si>
  <si>
    <t>Certificates list + document upload.</t>
  </si>
  <si>
    <t>lib/screens/portfolio/reflections_screen.dart</t>
  </si>
  <si>
    <t>Reflections list + editor screen.</t>
  </si>
  <si>
    <t>lib/screens/portfolio/skills_screen.dart</t>
  </si>
  <si>
    <t>Skills tracker with animated progress bars.</t>
  </si>
  <si>
    <t>lib/screens/portfolio/portfolio_overview_screen.dart</t>
  </si>
  <si>
    <t>Aggregate view: counts + recent from all 4 modules.</t>
  </si>
  <si>
    <t>lib/screens/resume/template_selection_screen.dart</t>
  </si>
  <si>
    <t>3 template preview cards.</t>
  </si>
  <si>
    <t>lib/screens/resume/resume_builder_screen.dart</t>
  </si>
  <si>
    <t>TK/RB</t>
  </si>
  <si>
    <t>Live preview + section toggles + inline edits.</t>
  </si>
  <si>
    <t>lib/screens/export/pdf_export_screen.dart</t>
  </si>
  <si>
    <t>PDF preview (printing pkg) + save to Downloads + share.</t>
  </si>
  <si>
    <t>lib/screens/admin/admin_login_screen.dart</t>
  </si>
  <si>
    <t>Separate admin PIN/password entry.</t>
  </si>
  <si>
    <t>lib/screens/admin/admin_dashboard_screen.dart</t>
  </si>
  <si>
    <t>Aggregate stats read from SQLite.</t>
  </si>
  <si>
    <t>lib/screens/admin/admin_user_list_screen.dart</t>
  </si>
  <si>
    <t>All students + search + portfolio count.</t>
  </si>
  <si>
    <t>lib/screens/admin/admin_data_screen.dart</t>
  </si>
  <si>
    <t>Delete user, wipe DB, export all data.</t>
  </si>
  <si>
    <t>lib/screens/settings/security_screen.dart</t>
  </si>
  <si>
    <t>PIN setup + biometric toggle.</t>
  </si>
  <si>
    <t>lib/widgets/portfolio_card.dart</t>
  </si>
  <si>
    <t>Reusable card for projects, certs, achievements. Parameterized.</t>
  </si>
  <si>
    <t>lib/widgets/image_carousel.dart</t>
  </si>
  <si>
    <t>PageView-based carousel for project images.</t>
  </si>
  <si>
    <t>lib/widgets/empty_state_widget.dart</t>
  </si>
  <si>
    <t>Lottie/SVG + message for empty lists.</t>
  </si>
  <si>
    <t>lib/widgets/loading_widget.dart</t>
  </si>
  <si>
    <t>Centered CircularProgressIndicator with optional message.</t>
  </si>
  <si>
    <t>lib/widgets/tag_chip.dart</t>
  </si>
  <si>
    <t>Colorized chip for tags/categories.</t>
  </si>
  <si>
    <t>lib/widgets/skill_bar.dart</t>
  </si>
  <si>
    <t>AnimatedContainer progress bar for skill rating.</t>
  </si>
  <si>
    <t>lib/widgets/resume_template_simple.dart</t>
  </si>
  <si>
    <t>Flutter widget rendering Simple PH resume layout.</t>
  </si>
  <si>
    <t>lib/widgets/resume_template_professional.dart</t>
  </si>
  <si>
    <t>Flutter widget rendering Professional PH resume.</t>
  </si>
  <si>
    <t>lib/widgets/resume_template_modern.dart</t>
  </si>
  <si>
    <t>Flutter widget rendering Modern two-column resume.</t>
  </si>
  <si>
    <t>lib/widgets/skeleton_loader.dart</t>
  </si>
  <si>
    <t>Shimmer skeleton for list and card loading states.</t>
  </si>
  <si>
    <t>lib/widgets/confirm_dialog.dart</t>
  </si>
  <si>
    <t>Reusable confirmation dialog with destructive action warning.</t>
  </si>
  <si>
    <t>lib/utils/validators.dart</t>
  </si>
  <si>
    <t>validateEmail(), validatePassword(), validateRequired(). Returns String? error.</t>
  </si>
  <si>
    <t>lib/utils/date_formatter.dart</t>
  </si>
  <si>
    <t>formatDate(), parseDate(), toISO8601(). Uses intl package.</t>
  </si>
  <si>
    <t>lib/utils/file_utils.dart</t>
  </si>
  <si>
    <t>getLocalPath(), generateUniqueFilename(), deleteIfExists().</t>
  </si>
  <si>
    <t>lib/utils/pdf_utils.dart</t>
  </si>
  <si>
    <t>registerFonts(), buildPdfHeader(), buildPdfDivider() helpers.</t>
  </si>
  <si>
    <t>💡 In Sprint 1: create ALL files above as empty placeholders. This locks the architecture and prevents spaghetti imports.</t>
  </si>
  <si>
    <t>Sprint 1 — Day 1 Kickoff Checklist</t>
  </si>
  <si>
    <t>Complete ALL items in your first class session (Mon/Thu 4–5:30 PM). Don't leave until rows 1–8 are checked.</t>
  </si>
  <si>
    <t>✓</t>
  </si>
  <si>
    <t>Time (min)</t>
  </si>
  <si>
    <t>Definition of Done</t>
  </si>
  <si>
    <t>Install Flutter SDK (stable channel) + Android Studio on ALL 3 laptops</t>
  </si>
  <si>
    <t>flutter doctor shows no errors on each machine</t>
  </si>
  <si>
    <t>Create Flutter project: flutter create portfolioph --org com.portfolioph</t>
  </si>
  <si>
    <t>Project runs on emulator/device showing default counter app</t>
  </si>
  <si>
    <t>Add ALL packages to pubspec.yaml (see Tech Stack sheet)</t>
  </si>
  <si>
    <t>flutter pub get succeeds with 0 errors</t>
  </si>
  <si>
    <t>Delete default counter app code from lib/main.dart</t>
  </si>
  <si>
    <t>main.dart has only empty MaterialApp scaffold</t>
  </si>
  <si>
    <t>Create full folder structure (see Flutter Scaffold sheet)</t>
  </si>
  <si>
    <t>All folders exist; git status shows them</t>
  </si>
  <si>
    <t>Create app_constants.dart with placeholder values</t>
  </si>
  <si>
    <t>File exists with AppConstants class; no empty files</t>
  </si>
  <si>
    <t>Create database_service.dart with open() stub</t>
  </si>
  <si>
    <t>DatabaseService singleton compiles without errors</t>
  </si>
  <si>
    <t>Create app_router.dart with 3 placeholder routes</t>
  </si>
  <si>
    <t>GoRouter compiles; app navigates between 2 blank screens</t>
  </si>
  <si>
    <t>Create app_theme.dart with brand colors</t>
  </si>
  <si>
    <t>ThemeData with primaryColor applied to app</t>
  </si>
  <si>
    <t>Initialize Git repo + push to GitHub/GitLab</t>
  </si>
  <si>
    <t>Remote repo visible; all 3 members can clone it</t>
  </si>
  <si>
    <t>Set up branching strategy: main / develop / feature/*</t>
  </si>
  <si>
    <t>develop branch exists; push protection on main</t>
  </si>
  <si>
    <t>Create README.md: project name, team, setup instructions</t>
  </si>
  <si>
    <t>README renders correctly on GitHub</t>
  </si>
  <si>
    <t>Android manifest: add storage + camera permissions</t>
  </si>
  <si>
    <t>permissions listed in AndroidManifest.xml</t>
  </si>
  <si>
    <t>Run app on physical Android device or emulator</t>
  </si>
  <si>
    <t>App launches without crashes on Android</t>
  </si>
  <si>
    <t>Take screenshot of running app + push to repo assets/</t>
  </si>
  <si>
    <t>Screenshot in repo proves it runs</t>
  </si>
  <si>
    <t>Schedule next 3 class session topics in shared Google Doc</t>
  </si>
  <si>
    <t>Each session has an agenda for the next 6 sessions</t>
  </si>
  <si>
    <t>Each member assigns themselves Sprint 1 tasks in GitHub Issues</t>
  </si>
  <si>
    <t>GitHub Issues board populated with Sprint 1 tasks</t>
  </si>
  <si>
    <t>Set up group chat with daily standup (What did, Doing, Blocked)</t>
  </si>
  <si>
    <t>Messenger/Viber group created with standup template pinned</t>
  </si>
  <si>
    <t>⏱  Total estimated time: 205 min  (3.4 hrs)  |  Class session: 90 min · Overflow to Wednesday session</t>
  </si>
  <si>
    <t>Success Metrics &amp; KPI Scorecard</t>
  </si>
  <si>
    <t>Track these every sprint. Review at each retrospective.</t>
  </si>
  <si>
    <t>KPI</t>
  </si>
  <si>
    <t>Target</t>
  </si>
  <si>
    <t>Measurement Method</t>
  </si>
  <si>
    <t>Sprint Check</t>
  </si>
  <si>
    <t>Actual</t>
  </si>
  <si>
    <t>Total programmer hours</t>
  </si>
  <si>
    <t>768 hrs</t>
  </si>
  <si>
    <t>Every sprint</t>
  </si>
  <si>
    <t>0</t>
  </si>
  <si>
    <t>App crash rate (manual QA)</t>
  </si>
  <si>
    <t>0 critical crashes</t>
  </si>
  <si>
    <t>Manual test log spreadsheet</t>
  </si>
  <si>
    <t>PDF export success rate</t>
  </si>
  <si>
    <t>100% on 3 test devices</t>
  </si>
  <si>
    <t>Manual test: 3 devices × 3 templates</t>
  </si>
  <si>
    <t>S6, S8</t>
  </si>
  <si>
    <t>Screens implemented</t>
  </si>
  <si>
    <t>≥ 22 screens</t>
  </si>
  <si>
    <t>Count .dart files in screens/</t>
  </si>
  <si>
    <t>Unit test coverage (services)</t>
  </si>
  <si>
    <t>≥ 80%</t>
  </si>
  <si>
    <t>flutter test --coverage → lcov report</t>
  </si>
  <si>
    <t>0%</t>
  </si>
  <si>
    <t>Release APK size</t>
  </si>
  <si>
    <t>&lt; 50 MB</t>
  </si>
  <si>
    <t>flutter build apk --analyze-size</t>
  </si>
  <si>
    <t>Team velocity consistency</t>
  </si>
  <si>
    <t>±10% sprint-to-sprint</t>
  </si>
  <si>
    <t>Weekly sprint demos completed</t>
  </si>
  <si>
    <t>8 / 8 demos</t>
  </si>
  <si>
    <t>Demo log in Master Tracker</t>
  </si>
  <si>
    <t>0/8</t>
  </si>
  <si>
    <t>Android API support range</t>
  </si>
  <si>
    <t>API 21 → API 34</t>
  </si>
  <si>
    <t>Test on 2 physical devices + emulators</t>
  </si>
  <si>
    <t>Capstone Q&amp;A readiness</t>
  </si>
  <si>
    <t>All 3 members answer any feature Q</t>
  </si>
  <si>
    <t>Internal rehearsal scoring (1–5)</t>
  </si>
  <si>
    <t>SQLite query performance</t>
  </si>
  <si>
    <t>All queries &lt; 50 ms</t>
  </si>
  <si>
    <t>Flutter DevTools → Performance → DB timing</t>
  </si>
  <si>
    <t>UI frame rate</t>
  </si>
  <si>
    <t>60 fps on mid-range Android</t>
  </si>
  <si>
    <t>Flutter DevTools → Performance overlay</t>
  </si>
  <si>
    <t>Zero hardcoded magic numbers</t>
  </si>
  <si>
    <t>0 occurrences</t>
  </si>
  <si>
    <t>Code review checklist + grep search</t>
  </si>
  <si>
    <t>Biometric auth optional fallback</t>
  </si>
  <si>
    <t>100% fallback to PIN</t>
  </si>
  <si>
    <t>Manual test: disable biometric → PIN appears</t>
  </si>
  <si>
    <t>DB backup / restore integrity</t>
  </si>
  <si>
    <t>100% data intact after restore</t>
  </si>
  <si>
    <t>Backup → wipe → restore → verify row counts</t>
  </si>
  <si>
    <t>📌  Update the 'Actual' column after every sprint retrospective. Change Status to: In Progress → On Track / At Risk / Failed.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</si>
</sst>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36"/>
      <color rgb="FFFFFFFF"/>
      <name val="Calibri"/>
    </font>
    <font>
      <sz val="18"/>
      <color rgb="FFDBEAFE"/>
      <name val="Calibri"/>
    </font>
    <font>
      <sz val="12"/>
      <color rgb="FF94A3B8"/>
      <name val="Calibri"/>
    </font>
    <font>
      <b/>
      <sz val="11"/>
      <color rgb="FF1B2A4A"/>
      <name val="Calibri"/>
    </font>
    <font>
      <sz val="11"/>
      <color rgb="FF1E293B"/>
      <name val="Calibri"/>
    </font>
    <font>
      <b/>
      <sz val="12"/>
      <color rgb="FFFFFFFF"/>
      <name val="Calibri"/>
    </font>
    <font>
      <b/>
      <sz val="10"/>
      <color rgb="FF2563EB"/>
      <name val="Calibri"/>
    </font>
    <font>
      <sz val="10"/>
      <color rgb="FF1E293B"/>
      <name val="Calibri"/>
    </font>
    <font>
      <b/>
      <sz val="14"/>
      <color rgb="FFFFFFFF"/>
      <name val="Calibri"/>
    </font>
    <font>
      <i/>
      <sz val="9"/>
      <color rgb="FF1B2A4A"/>
      <name val="Calibri"/>
    </font>
    <font>
      <b/>
      <sz val="10"/>
      <color rgb="FFFFFFFF"/>
      <name val="Calibri"/>
    </font>
    <font>
      <b/>
      <sz val="10"/>
      <color rgb="FF64748B"/>
      <name val="Calibri"/>
    </font>
    <font>
      <b/>
      <sz val="11"/>
      <color rgb="FFFFFFFF"/>
      <name val="Calibri"/>
    </font>
    <font>
      <b/>
      <sz val="10"/>
      <color rgb="FFF59E0B"/>
      <name val="Calibri"/>
    </font>
    <font>
      <b/>
      <sz val="11"/>
      <color rgb="FFF59E0B"/>
      <name val="Calibri"/>
    </font>
    <font>
      <b/>
      <sz val="9"/>
      <name val="Calibri"/>
    </font>
    <font>
      <b/>
      <sz val="9"/>
      <color rgb="FFFFFFFF"/>
      <name val="Calibri"/>
    </font>
    <font>
      <b/>
      <sz val="10"/>
      <color rgb="FF1E293B"/>
      <name val="Calibri"/>
    </font>
    <font>
      <i/>
      <sz val="10"/>
      <color rgb="FF1E293B"/>
      <name val="Calibri"/>
    </font>
    <font>
      <sz val="10"/>
      <color rgb="FFFFFFFF"/>
      <name val="Calibri"/>
    </font>
    <font>
      <i/>
      <sz val="9"/>
      <color rgb="FF1E293B"/>
      <name val="Calibri"/>
    </font>
    <font>
      <b/>
      <sz val="10"/>
      <color rgb="FF1B2A4A"/>
      <name val="Calibri"/>
    </font>
    <font>
      <b/>
      <sz val="11"/>
      <color rgb="FFFFFFFF"/>
      <name val="Calibri"/>
    </font>
    <font>
      <sz val="9"/>
      <color rgb="FF2563EB"/>
      <name val="Courier New"/>
    </font>
    <font>
      <b/>
      <sz val="10"/>
      <color rgb="FF0D9488"/>
      <name val="Calibri"/>
    </font>
    <font>
      <i/>
      <sz val="10"/>
      <color rgb="FF374151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2563EB"/>
      </patternFill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64748B"/>
      </patternFill>
    </fill>
    <fill>
      <patternFill patternType="solid">
        <fgColor rgb="FF16A34A"/>
      </patternFill>
    </fill>
    <fill>
      <patternFill patternType="solid">
        <fgColor rgb="FF0D9488"/>
      </patternFill>
    </fill>
    <fill>
      <patternFill patternType="solid">
        <fgColor rgb="FFFDE68A"/>
      </patternFill>
    </fill>
    <fill>
      <patternFill patternType="solid">
        <fgColor rgb="FFF59E0B"/>
      </patternFill>
    </fill>
    <fill>
      <patternFill patternType="solid">
        <fgColor rgb="FFDC2626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FF7ED"/>
      </patternFill>
    </fill>
    <fill>
      <patternFill patternType="solid">
        <fgColor rgb="FFF5F3FF"/>
      </patternFill>
    </fill>
    <fill>
      <patternFill patternType="solid">
        <fgColor rgb="FFFDF2F8"/>
      </patternFill>
    </fill>
    <fill>
      <patternFill patternType="solid">
        <fgColor rgb="FFFEF2F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6" fillId="0" borderId="0" xfId="0" applyFont="1"/>
    <xf numFmtId="0" fontId="17" fillId="8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 wrapText="1"/>
    </xf>
    <xf numFmtId="9" fontId="8" fillId="4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 wrapText="1"/>
    </xf>
    <xf numFmtId="9" fontId="14" fillId="7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left" vertical="center"/>
    </xf>
    <xf numFmtId="0" fontId="25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 wrapText="1"/>
    </xf>
    <xf numFmtId="0" fontId="24" fillId="15" borderId="1" xfId="0" applyFont="1" applyFill="1" applyBorder="1" applyAlignment="1">
      <alignment horizontal="left" vertical="center"/>
    </xf>
    <xf numFmtId="0" fontId="25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 wrapText="1"/>
    </xf>
    <xf numFmtId="0" fontId="24" fillId="16" borderId="1" xfId="0" applyFont="1" applyFill="1" applyBorder="1" applyAlignment="1">
      <alignment horizontal="left" vertical="center"/>
    </xf>
    <xf numFmtId="0" fontId="25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left" vertical="center" wrapText="1"/>
    </xf>
    <xf numFmtId="0" fontId="24" fillId="17" borderId="1" xfId="0" applyFont="1" applyFill="1" applyBorder="1" applyAlignment="1">
      <alignment horizontal="left" vertical="center"/>
    </xf>
    <xf numFmtId="0" fontId="25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left" vertical="center" wrapText="1"/>
    </xf>
    <xf numFmtId="0" fontId="24" fillId="18" borderId="1" xfId="0" applyFont="1" applyFill="1" applyBorder="1" applyAlignment="1">
      <alignment horizontal="left" vertical="center"/>
    </xf>
    <xf numFmtId="0" fontId="25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horizontal="left" vertical="center"/>
    </xf>
    <xf numFmtId="0" fontId="25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left" vertical="center" wrapText="1"/>
    </xf>
    <xf numFmtId="0" fontId="24" fillId="20" borderId="1" xfId="0" applyFont="1" applyFill="1" applyBorder="1" applyAlignment="1">
      <alignment horizontal="left" vertical="center"/>
    </xf>
    <xf numFmtId="0" fontId="25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23" fillId="2" borderId="1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22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ack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ck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3"/>
  <sheetViews>
    <sheetView showGridLines="0" topLeftCell="A9" zoomScale="110" workbookViewId="0">
      <selection activeCell="C4" sqref="C4"/>
    </sheetView>
  </sheetViews>
  <sheetFormatPr defaultRowHeight="15" x14ac:dyDescent="0.25"/>
  <cols>
    <col min="1" max="1" width="2" customWidth="1"/>
    <col min="2" max="2" width="60" customWidth="1"/>
    <col min="3" max="3" width="70" customWidth="1"/>
  </cols>
  <sheetData>
    <row r="1" spans="2:3" ht="21.95" customHeight="1" x14ac:dyDescent="0.25"/>
    <row r="2" spans="2:3" ht="21.95" customHeight="1" x14ac:dyDescent="0.25">
      <c r="B2" s="91" t="s">
        <v>0</v>
      </c>
    </row>
    <row r="3" spans="2:3" ht="21.95" customHeight="1" x14ac:dyDescent="0.25">
      <c r="B3" s="90"/>
    </row>
    <row r="4" spans="2:3" ht="21.95" customHeight="1" x14ac:dyDescent="0.25">
      <c r="B4" s="90"/>
    </row>
    <row r="5" spans="2:3" ht="21.95" customHeight="1" x14ac:dyDescent="0.25">
      <c r="B5" s="88" t="s">
        <v>1</v>
      </c>
    </row>
    <row r="6" spans="2:3" ht="21.95" customHeight="1" x14ac:dyDescent="0.25">
      <c r="B6" s="87" t="s">
        <v>2</v>
      </c>
    </row>
    <row r="7" spans="2:3" ht="21.95" customHeight="1" x14ac:dyDescent="0.25"/>
    <row r="8" spans="2:3" ht="20.100000000000001" customHeight="1" x14ac:dyDescent="0.25">
      <c r="B8" s="1"/>
      <c r="C8" s="2"/>
    </row>
    <row r="9" spans="2:3" ht="20.100000000000001" customHeight="1" x14ac:dyDescent="0.25">
      <c r="B9" s="3" t="s">
        <v>3</v>
      </c>
      <c r="C9" s="4" t="s">
        <v>4</v>
      </c>
    </row>
    <row r="10" spans="2:3" ht="20.100000000000001" customHeight="1" x14ac:dyDescent="0.25">
      <c r="B10" s="1" t="s">
        <v>5</v>
      </c>
      <c r="C10" s="2" t="s">
        <v>6</v>
      </c>
    </row>
    <row r="11" spans="2:3" ht="20.100000000000001" customHeight="1" x14ac:dyDescent="0.25">
      <c r="B11" s="3" t="s">
        <v>7</v>
      </c>
      <c r="C11" s="4" t="s">
        <v>8</v>
      </c>
    </row>
    <row r="12" spans="2:3" ht="20.100000000000001" customHeight="1" x14ac:dyDescent="0.25">
      <c r="B12" s="1" t="s">
        <v>9</v>
      </c>
      <c r="C12" s="2" t="s">
        <v>10</v>
      </c>
    </row>
    <row r="13" spans="2:3" ht="20.100000000000001" customHeight="1" x14ac:dyDescent="0.25">
      <c r="B13" s="3" t="s">
        <v>11</v>
      </c>
      <c r="C13" s="4" t="s">
        <v>12</v>
      </c>
    </row>
    <row r="14" spans="2:3" ht="20.100000000000001" customHeight="1" x14ac:dyDescent="0.25">
      <c r="B14" s="1" t="s">
        <v>13</v>
      </c>
      <c r="C14" s="2" t="s">
        <v>14</v>
      </c>
    </row>
    <row r="16" spans="2:3" ht="24.95" customHeight="1" x14ac:dyDescent="0.25">
      <c r="B16" s="89" t="s">
        <v>15</v>
      </c>
      <c r="C16" s="90"/>
    </row>
    <row r="17" spans="2:3" ht="18" customHeight="1" x14ac:dyDescent="0.25">
      <c r="B17" s="5" t="s">
        <v>16</v>
      </c>
      <c r="C17" s="6" t="s">
        <v>17</v>
      </c>
    </row>
    <row r="18" spans="2:3" ht="18" customHeight="1" x14ac:dyDescent="0.25">
      <c r="B18" s="7" t="s">
        <v>18</v>
      </c>
      <c r="C18" s="8" t="s">
        <v>19</v>
      </c>
    </row>
    <row r="19" spans="2:3" ht="18" customHeight="1" x14ac:dyDescent="0.25">
      <c r="B19" s="5" t="s">
        <v>20</v>
      </c>
      <c r="C19" s="6" t="s">
        <v>21</v>
      </c>
    </row>
    <row r="20" spans="2:3" ht="18" customHeight="1" x14ac:dyDescent="0.25">
      <c r="B20" s="7" t="s">
        <v>22</v>
      </c>
      <c r="C20" s="8" t="s">
        <v>23</v>
      </c>
    </row>
    <row r="21" spans="2:3" ht="18" customHeight="1" x14ac:dyDescent="0.25">
      <c r="B21" s="5" t="s">
        <v>24</v>
      </c>
      <c r="C21" s="6" t="s">
        <v>25</v>
      </c>
    </row>
    <row r="22" spans="2:3" ht="18" customHeight="1" x14ac:dyDescent="0.25">
      <c r="B22" s="7" t="s">
        <v>26</v>
      </c>
      <c r="C22" s="8" t="s">
        <v>27</v>
      </c>
    </row>
    <row r="23" spans="2:3" ht="18" customHeight="1" x14ac:dyDescent="0.25">
      <c r="B23" s="5" t="s">
        <v>28</v>
      </c>
      <c r="C23" s="6" t="s">
        <v>29</v>
      </c>
    </row>
    <row r="24" spans="2:3" ht="18" customHeight="1" x14ac:dyDescent="0.25">
      <c r="B24" s="7" t="s">
        <v>30</v>
      </c>
      <c r="C24" s="8" t="s">
        <v>31</v>
      </c>
    </row>
    <row r="25" spans="2:3" ht="18" customHeight="1" x14ac:dyDescent="0.25">
      <c r="B25" s="5" t="s">
        <v>32</v>
      </c>
      <c r="C25" s="6" t="s">
        <v>33</v>
      </c>
    </row>
    <row r="26" spans="2:3" ht="18" customHeight="1" x14ac:dyDescent="0.25">
      <c r="B26" s="7" t="s">
        <v>34</v>
      </c>
      <c r="C26" s="8" t="s">
        <v>35</v>
      </c>
    </row>
    <row r="27" spans="2:3" ht="18" customHeight="1" x14ac:dyDescent="0.25">
      <c r="B27" s="5" t="s">
        <v>36</v>
      </c>
      <c r="C27" s="6" t="s">
        <v>37</v>
      </c>
    </row>
    <row r="28" spans="2:3" ht="18" customHeight="1" x14ac:dyDescent="0.25">
      <c r="B28" s="7" t="s">
        <v>38</v>
      </c>
      <c r="C28" s="8" t="s">
        <v>39</v>
      </c>
    </row>
    <row r="29" spans="2:3" ht="18" customHeight="1" x14ac:dyDescent="0.25">
      <c r="B29" s="5" t="s">
        <v>40</v>
      </c>
      <c r="C29" s="6" t="s">
        <v>41</v>
      </c>
    </row>
    <row r="30" spans="2:3" ht="18" customHeight="1" x14ac:dyDescent="0.25">
      <c r="B30" s="7" t="s">
        <v>42</v>
      </c>
      <c r="C30" s="8" t="s">
        <v>43</v>
      </c>
    </row>
    <row r="31" spans="2:3" ht="18" customHeight="1" x14ac:dyDescent="0.25">
      <c r="B31" s="5" t="s">
        <v>44</v>
      </c>
      <c r="C31" s="6" t="s">
        <v>45</v>
      </c>
    </row>
    <row r="32" spans="2:3" ht="18" customHeight="1" x14ac:dyDescent="0.25">
      <c r="B32" s="7" t="s">
        <v>46</v>
      </c>
      <c r="C32" s="8" t="s">
        <v>47</v>
      </c>
    </row>
    <row r="33" spans="2:3" ht="18" customHeight="1" x14ac:dyDescent="0.25">
      <c r="B33" s="5" t="s">
        <v>48</v>
      </c>
      <c r="C33" s="6" t="s">
        <v>49</v>
      </c>
    </row>
  </sheetData>
  <mergeCells count="4">
    <mergeCell ref="B6"/>
    <mergeCell ref="B5"/>
    <mergeCell ref="B16:C16"/>
    <mergeCell ref="B2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showGridLines="0" workbookViewId="0">
      <pane ySplit="3" topLeftCell="A4" activePane="bottomLeft" state="frozen"/>
      <selection pane="bottomLeft" sqref="A1:I1"/>
    </sheetView>
  </sheetViews>
  <sheetFormatPr defaultRowHeight="15" x14ac:dyDescent="0.25"/>
  <cols>
    <col min="1" max="1" width="8" customWidth="1"/>
    <col min="2" max="2" width="12" customWidth="1"/>
    <col min="3" max="3" width="36" customWidth="1"/>
    <col min="4" max="4" width="42" customWidth="1"/>
    <col min="5" max="7" width="14" customWidth="1"/>
    <col min="8" max="8" width="28" customWidth="1"/>
    <col min="9" max="9" width="18" customWidth="1"/>
  </cols>
  <sheetData>
    <row r="1" spans="1:9" ht="18.75" x14ac:dyDescent="0.25">
      <c r="A1" s="92" t="s">
        <v>50</v>
      </c>
      <c r="B1" s="90"/>
      <c r="C1" s="90"/>
      <c r="D1" s="90"/>
      <c r="E1" s="90"/>
      <c r="F1" s="90"/>
      <c r="G1" s="90"/>
      <c r="H1" s="90"/>
      <c r="I1" s="90"/>
    </row>
    <row r="2" spans="1:9" x14ac:dyDescent="0.25">
      <c r="A2" s="94" t="s">
        <v>51</v>
      </c>
      <c r="B2" s="90"/>
      <c r="C2" s="90"/>
      <c r="D2" s="90"/>
      <c r="E2" s="90"/>
      <c r="F2" s="90"/>
      <c r="G2" s="90"/>
      <c r="H2" s="90"/>
      <c r="I2" s="90"/>
    </row>
    <row r="3" spans="1:9" x14ac:dyDescent="0.25">
      <c r="A3" s="9" t="s">
        <v>52</v>
      </c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  <c r="G3" s="9" t="s">
        <v>58</v>
      </c>
      <c r="H3" s="9" t="s">
        <v>59</v>
      </c>
      <c r="I3" s="9" t="s">
        <v>60</v>
      </c>
    </row>
    <row r="4" spans="1:9" ht="25.5" x14ac:dyDescent="0.25">
      <c r="A4" s="10">
        <v>1</v>
      </c>
      <c r="B4" s="11" t="s">
        <v>61</v>
      </c>
      <c r="C4" s="11" t="s">
        <v>62</v>
      </c>
      <c r="D4" s="11" t="s">
        <v>63</v>
      </c>
      <c r="E4" s="12">
        <v>96</v>
      </c>
      <c r="F4" s="12">
        <v>9.6</v>
      </c>
      <c r="G4" s="12">
        <v>86.4</v>
      </c>
      <c r="H4" s="11" t="s">
        <v>64</v>
      </c>
      <c r="I4" s="13" t="s">
        <v>65</v>
      </c>
    </row>
    <row r="5" spans="1:9" x14ac:dyDescent="0.25">
      <c r="A5" s="10">
        <v>2</v>
      </c>
      <c r="B5" s="14" t="s">
        <v>66</v>
      </c>
      <c r="C5" s="14" t="s">
        <v>67</v>
      </c>
      <c r="D5" s="14" t="s">
        <v>68</v>
      </c>
      <c r="E5" s="15">
        <v>96</v>
      </c>
      <c r="F5" s="15">
        <v>9.6</v>
      </c>
      <c r="G5" s="15">
        <v>86.4</v>
      </c>
      <c r="H5" s="14" t="s">
        <v>69</v>
      </c>
      <c r="I5" s="16" t="s">
        <v>65</v>
      </c>
    </row>
    <row r="6" spans="1:9" ht="25.5" x14ac:dyDescent="0.25">
      <c r="A6" s="10">
        <v>3</v>
      </c>
      <c r="B6" s="11" t="s">
        <v>70</v>
      </c>
      <c r="C6" s="11" t="s">
        <v>71</v>
      </c>
      <c r="D6" s="11" t="s">
        <v>72</v>
      </c>
      <c r="E6" s="12">
        <v>96</v>
      </c>
      <c r="F6" s="12">
        <v>9.6</v>
      </c>
      <c r="G6" s="12">
        <v>86.4</v>
      </c>
      <c r="H6" s="11" t="s">
        <v>73</v>
      </c>
      <c r="I6" s="13" t="s">
        <v>65</v>
      </c>
    </row>
    <row r="7" spans="1:9" x14ac:dyDescent="0.25">
      <c r="A7" s="10">
        <v>4</v>
      </c>
      <c r="B7" s="14" t="s">
        <v>74</v>
      </c>
      <c r="C7" s="14" t="s">
        <v>75</v>
      </c>
      <c r="D7" s="14" t="s">
        <v>76</v>
      </c>
      <c r="E7" s="15">
        <v>96</v>
      </c>
      <c r="F7" s="15">
        <v>9.6</v>
      </c>
      <c r="G7" s="15">
        <v>86.4</v>
      </c>
      <c r="H7" s="14" t="s">
        <v>77</v>
      </c>
      <c r="I7" s="16" t="s">
        <v>65</v>
      </c>
    </row>
    <row r="8" spans="1:9" ht="25.5" x14ac:dyDescent="0.25">
      <c r="A8" s="10">
        <v>5</v>
      </c>
      <c r="B8" s="11" t="s">
        <v>78</v>
      </c>
      <c r="C8" s="11" t="s">
        <v>79</v>
      </c>
      <c r="D8" s="11" t="s">
        <v>80</v>
      </c>
      <c r="E8" s="12">
        <v>96</v>
      </c>
      <c r="F8" s="12">
        <v>9.6</v>
      </c>
      <c r="G8" s="12">
        <v>86.4</v>
      </c>
      <c r="H8" s="11" t="s">
        <v>81</v>
      </c>
      <c r="I8" s="13" t="s">
        <v>65</v>
      </c>
    </row>
    <row r="9" spans="1:9" ht="25.5" x14ac:dyDescent="0.25">
      <c r="A9" s="10">
        <v>6</v>
      </c>
      <c r="B9" s="14" t="s">
        <v>82</v>
      </c>
      <c r="C9" s="14" t="s">
        <v>83</v>
      </c>
      <c r="D9" s="14" t="s">
        <v>84</v>
      </c>
      <c r="E9" s="15">
        <v>96</v>
      </c>
      <c r="F9" s="15">
        <v>9.6</v>
      </c>
      <c r="G9" s="15">
        <v>86.4</v>
      </c>
      <c r="H9" s="14" t="s">
        <v>85</v>
      </c>
      <c r="I9" s="16" t="s">
        <v>65</v>
      </c>
    </row>
    <row r="10" spans="1:9" ht="25.5" x14ac:dyDescent="0.25">
      <c r="A10" s="10">
        <v>7</v>
      </c>
      <c r="B10" s="11" t="s">
        <v>86</v>
      </c>
      <c r="C10" s="11" t="s">
        <v>87</v>
      </c>
      <c r="D10" s="11" t="s">
        <v>88</v>
      </c>
      <c r="E10" s="12">
        <v>96</v>
      </c>
      <c r="F10" s="12">
        <v>9.6</v>
      </c>
      <c r="G10" s="12">
        <v>86.4</v>
      </c>
      <c r="H10" s="11" t="s">
        <v>89</v>
      </c>
      <c r="I10" s="13" t="s">
        <v>65</v>
      </c>
    </row>
    <row r="11" spans="1:9" x14ac:dyDescent="0.25">
      <c r="A11" s="10">
        <v>8</v>
      </c>
      <c r="B11" s="14" t="s">
        <v>90</v>
      </c>
      <c r="C11" s="14" t="s">
        <v>91</v>
      </c>
      <c r="D11" s="14" t="s">
        <v>92</v>
      </c>
      <c r="E11" s="15">
        <v>96</v>
      </c>
      <c r="F11" s="15">
        <v>9.6</v>
      </c>
      <c r="G11" s="15">
        <v>86.4</v>
      </c>
      <c r="H11" s="14" t="s">
        <v>93</v>
      </c>
      <c r="I11" s="16" t="s">
        <v>65</v>
      </c>
    </row>
    <row r="12" spans="1:9" x14ac:dyDescent="0.25">
      <c r="A12" s="17" t="s">
        <v>94</v>
      </c>
      <c r="B12" s="93" t="s">
        <v>95</v>
      </c>
      <c r="C12" s="90"/>
      <c r="D12" s="90"/>
      <c r="E12" s="19">
        <f>SUM(E4:E11)</f>
        <v>768</v>
      </c>
      <c r="F12" s="19">
        <f>SUM(F4:F11)</f>
        <v>76.8</v>
      </c>
      <c r="G12" s="19">
        <f>SUM(G4:G11)</f>
        <v>691.19999999999993</v>
      </c>
      <c r="H12" s="17" t="s">
        <v>96</v>
      </c>
      <c r="I12" s="20" t="s">
        <v>97</v>
      </c>
    </row>
    <row r="14" spans="1:9" x14ac:dyDescent="0.25">
      <c r="A14" s="21" t="s">
        <v>98</v>
      </c>
      <c r="B14" s="22" t="s">
        <v>99</v>
      </c>
      <c r="C14" s="23" t="s">
        <v>100</v>
      </c>
      <c r="D14" s="24" t="s">
        <v>101</v>
      </c>
    </row>
  </sheetData>
  <mergeCells count="3">
    <mergeCell ref="A1:I1"/>
    <mergeCell ref="B12:D12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showGridLines="0"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1" width="5" customWidth="1"/>
    <col min="2" max="2" width="38" customWidth="1"/>
    <col min="3" max="3" width="14" customWidth="1"/>
    <col min="4" max="4" width="10" customWidth="1"/>
    <col min="5" max="5" width="42" customWidth="1"/>
    <col min="6" max="6" width="16" customWidth="1"/>
  </cols>
  <sheetData>
    <row r="1" spans="1:6" ht="18.75" x14ac:dyDescent="0.25">
      <c r="A1" s="97" t="s">
        <v>102</v>
      </c>
      <c r="B1" s="90"/>
      <c r="C1" s="90"/>
      <c r="D1" s="90"/>
      <c r="E1" s="90"/>
      <c r="F1" s="90"/>
    </row>
    <row r="2" spans="1:6" x14ac:dyDescent="0.25">
      <c r="A2" s="94" t="s">
        <v>103</v>
      </c>
      <c r="B2" s="90"/>
      <c r="C2" s="90"/>
      <c r="D2" s="90"/>
      <c r="E2" s="90"/>
      <c r="F2" s="90"/>
    </row>
    <row r="3" spans="1:6" x14ac:dyDescent="0.25">
      <c r="A3" s="9" t="s">
        <v>104</v>
      </c>
      <c r="B3" s="9" t="s">
        <v>105</v>
      </c>
      <c r="C3" s="9" t="s">
        <v>106</v>
      </c>
      <c r="D3" s="9" t="s">
        <v>107</v>
      </c>
      <c r="E3" s="9" t="s">
        <v>108</v>
      </c>
      <c r="F3" s="9" t="s">
        <v>60</v>
      </c>
    </row>
    <row r="4" spans="1:6" ht="25.5" x14ac:dyDescent="0.25">
      <c r="A4" s="25">
        <v>1</v>
      </c>
      <c r="B4" s="14" t="s">
        <v>109</v>
      </c>
      <c r="C4" s="15" t="s">
        <v>110</v>
      </c>
      <c r="D4" s="15">
        <v>4</v>
      </c>
      <c r="E4" s="14" t="s">
        <v>111</v>
      </c>
      <c r="F4" s="15" t="s">
        <v>112</v>
      </c>
    </row>
    <row r="5" spans="1:6" ht="25.5" x14ac:dyDescent="0.25">
      <c r="A5" s="25">
        <v>2</v>
      </c>
      <c r="B5" s="11" t="s">
        <v>113</v>
      </c>
      <c r="C5" s="12" t="s">
        <v>110</v>
      </c>
      <c r="D5" s="12">
        <v>3</v>
      </c>
      <c r="E5" s="11" t="s">
        <v>114</v>
      </c>
      <c r="F5" s="12" t="s">
        <v>112</v>
      </c>
    </row>
    <row r="6" spans="1:6" ht="25.5" x14ac:dyDescent="0.25">
      <c r="A6" s="25">
        <v>3</v>
      </c>
      <c r="B6" s="14" t="s">
        <v>115</v>
      </c>
      <c r="C6" s="15" t="s">
        <v>116</v>
      </c>
      <c r="D6" s="15">
        <v>8</v>
      </c>
      <c r="E6" s="14" t="s">
        <v>117</v>
      </c>
      <c r="F6" s="15" t="s">
        <v>112</v>
      </c>
    </row>
    <row r="7" spans="1:6" ht="25.5" x14ac:dyDescent="0.25">
      <c r="A7" s="25">
        <v>4</v>
      </c>
      <c r="B7" s="11" t="s">
        <v>118</v>
      </c>
      <c r="C7" s="12" t="s">
        <v>116</v>
      </c>
      <c r="D7" s="12">
        <v>6</v>
      </c>
      <c r="E7" s="11" t="s">
        <v>119</v>
      </c>
      <c r="F7" s="12" t="s">
        <v>112</v>
      </c>
    </row>
    <row r="8" spans="1:6" ht="25.5" x14ac:dyDescent="0.25">
      <c r="A8" s="25">
        <v>5</v>
      </c>
      <c r="B8" s="14" t="s">
        <v>120</v>
      </c>
      <c r="C8" s="15" t="s">
        <v>121</v>
      </c>
      <c r="D8" s="15">
        <v>5</v>
      </c>
      <c r="E8" s="14" t="s">
        <v>122</v>
      </c>
      <c r="F8" s="15" t="s">
        <v>112</v>
      </c>
    </row>
    <row r="9" spans="1:6" ht="25.5" x14ac:dyDescent="0.25">
      <c r="A9" s="25">
        <v>6</v>
      </c>
      <c r="B9" s="11" t="s">
        <v>123</v>
      </c>
      <c r="C9" s="12" t="s">
        <v>121</v>
      </c>
      <c r="D9" s="12">
        <v>6</v>
      </c>
      <c r="E9" s="11" t="s">
        <v>124</v>
      </c>
      <c r="F9" s="12" t="s">
        <v>112</v>
      </c>
    </row>
    <row r="10" spans="1:6" ht="25.5" x14ac:dyDescent="0.25">
      <c r="A10" s="25">
        <v>7</v>
      </c>
      <c r="B10" s="14" t="s">
        <v>125</v>
      </c>
      <c r="C10" s="15" t="s">
        <v>110</v>
      </c>
      <c r="D10" s="15">
        <v>4</v>
      </c>
      <c r="E10" s="14" t="s">
        <v>126</v>
      </c>
      <c r="F10" s="15" t="s">
        <v>112</v>
      </c>
    </row>
    <row r="11" spans="1:6" ht="25.5" x14ac:dyDescent="0.25">
      <c r="A11" s="25">
        <v>8</v>
      </c>
      <c r="B11" s="11" t="s">
        <v>127</v>
      </c>
      <c r="C11" s="12" t="s">
        <v>116</v>
      </c>
      <c r="D11" s="12">
        <v>3</v>
      </c>
      <c r="E11" s="11" t="s">
        <v>128</v>
      </c>
      <c r="F11" s="12" t="s">
        <v>112</v>
      </c>
    </row>
    <row r="12" spans="1:6" ht="25.5" x14ac:dyDescent="0.25">
      <c r="A12" s="25">
        <v>9</v>
      </c>
      <c r="B12" s="14" t="s">
        <v>129</v>
      </c>
      <c r="C12" s="15" t="s">
        <v>121</v>
      </c>
      <c r="D12" s="15">
        <v>5</v>
      </c>
      <c r="E12" s="14" t="s">
        <v>130</v>
      </c>
      <c r="F12" s="15" t="s">
        <v>112</v>
      </c>
    </row>
    <row r="13" spans="1:6" ht="25.5" x14ac:dyDescent="0.25">
      <c r="A13" s="25">
        <v>10</v>
      </c>
      <c r="B13" s="11" t="s">
        <v>131</v>
      </c>
      <c r="C13" s="12" t="s">
        <v>132</v>
      </c>
      <c r="D13" s="12">
        <v>4</v>
      </c>
      <c r="E13" s="11" t="s">
        <v>133</v>
      </c>
      <c r="F13" s="12" t="s">
        <v>112</v>
      </c>
    </row>
    <row r="14" spans="1:6" ht="25.5" x14ac:dyDescent="0.25">
      <c r="A14" s="25">
        <v>11</v>
      </c>
      <c r="B14" s="14" t="s">
        <v>134</v>
      </c>
      <c r="C14" s="15" t="s">
        <v>110</v>
      </c>
      <c r="D14" s="15">
        <v>3</v>
      </c>
      <c r="E14" s="14" t="s">
        <v>135</v>
      </c>
      <c r="F14" s="15" t="s">
        <v>112</v>
      </c>
    </row>
    <row r="15" spans="1:6" ht="25.5" x14ac:dyDescent="0.25">
      <c r="A15" s="25">
        <v>12</v>
      </c>
      <c r="B15" s="11" t="s">
        <v>136</v>
      </c>
      <c r="C15" s="12" t="s">
        <v>132</v>
      </c>
      <c r="D15" s="12">
        <v>3</v>
      </c>
      <c r="E15" s="11" t="s">
        <v>137</v>
      </c>
      <c r="F15" s="12" t="s">
        <v>112</v>
      </c>
    </row>
    <row r="16" spans="1:6" ht="25.5" x14ac:dyDescent="0.25">
      <c r="A16" s="95" t="s">
        <v>138</v>
      </c>
      <c r="B16" s="90"/>
      <c r="C16" s="27" t="s">
        <v>139</v>
      </c>
      <c r="D16" s="26">
        <v>9.6</v>
      </c>
      <c r="E16" s="28" t="s">
        <v>140</v>
      </c>
      <c r="F16" s="27" t="s">
        <v>141</v>
      </c>
    </row>
    <row r="17" spans="1:6" x14ac:dyDescent="0.25">
      <c r="A17" s="93" t="s">
        <v>142</v>
      </c>
      <c r="B17" s="90"/>
      <c r="C17" s="18" t="s">
        <v>143</v>
      </c>
      <c r="D17" s="19">
        <f>SUM(D5:D15)+9.6</f>
        <v>59.6</v>
      </c>
      <c r="E17" s="29" t="s">
        <v>144</v>
      </c>
      <c r="F17" s="30"/>
    </row>
    <row r="19" spans="1:6" x14ac:dyDescent="0.25">
      <c r="A19" s="96" t="s">
        <v>145</v>
      </c>
      <c r="B19" s="90"/>
      <c r="C19" s="90"/>
      <c r="D19" s="90"/>
      <c r="E19" s="90"/>
      <c r="F19" s="90"/>
    </row>
    <row r="21" spans="1:6" x14ac:dyDescent="0.25">
      <c r="A21" s="98" t="s">
        <v>146</v>
      </c>
      <c r="B21" s="90"/>
      <c r="C21" s="90"/>
      <c r="D21" s="90"/>
      <c r="E21" s="90"/>
      <c r="F21" s="90"/>
    </row>
    <row r="22" spans="1:6" x14ac:dyDescent="0.25">
      <c r="A22" s="31" t="s">
        <v>147</v>
      </c>
      <c r="B22" s="31" t="s">
        <v>148</v>
      </c>
      <c r="C22" s="31" t="s">
        <v>149</v>
      </c>
      <c r="D22" s="31" t="s">
        <v>150</v>
      </c>
    </row>
    <row r="23" spans="1:6" ht="114.75" x14ac:dyDescent="0.25">
      <c r="A23" s="32" t="s">
        <v>151</v>
      </c>
      <c r="B23" s="33" t="s">
        <v>152</v>
      </c>
      <c r="C23" s="34" t="s">
        <v>153</v>
      </c>
      <c r="D23" s="32" t="s">
        <v>154</v>
      </c>
    </row>
    <row r="24" spans="1:6" ht="140.25" x14ac:dyDescent="0.25">
      <c r="A24" s="32" t="s">
        <v>155</v>
      </c>
      <c r="B24" s="34" t="s">
        <v>153</v>
      </c>
      <c r="C24" s="35" t="s">
        <v>156</v>
      </c>
      <c r="D24" s="32" t="s">
        <v>157</v>
      </c>
    </row>
    <row r="25" spans="1:6" ht="89.25" x14ac:dyDescent="0.25">
      <c r="A25" s="32" t="s">
        <v>158</v>
      </c>
      <c r="B25" s="35" t="s">
        <v>156</v>
      </c>
      <c r="C25" s="33" t="s">
        <v>152</v>
      </c>
      <c r="D25" s="32" t="s">
        <v>159</v>
      </c>
    </row>
  </sheetData>
  <mergeCells count="6">
    <mergeCell ref="A21:F21"/>
    <mergeCell ref="A2:F2"/>
    <mergeCell ref="A16:B16"/>
    <mergeCell ref="A19:F19"/>
    <mergeCell ref="A1:F1"/>
    <mergeCell ref="A17: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38" customWidth="1"/>
    <col min="3" max="3" width="14" customWidth="1"/>
    <col min="4" max="4" width="10" customWidth="1"/>
    <col min="5" max="5" width="42" customWidth="1"/>
    <col min="6" max="6" width="16" customWidth="1"/>
  </cols>
  <sheetData>
    <row r="1" spans="1:6" ht="18.75" x14ac:dyDescent="0.25">
      <c r="A1" s="97" t="s">
        <v>160</v>
      </c>
      <c r="B1" s="90"/>
      <c r="C1" s="90"/>
      <c r="D1" s="90"/>
      <c r="E1" s="90"/>
      <c r="F1" s="90"/>
    </row>
    <row r="2" spans="1:6" x14ac:dyDescent="0.25">
      <c r="A2" s="94" t="s">
        <v>161</v>
      </c>
      <c r="B2" s="90"/>
      <c r="C2" s="90"/>
      <c r="D2" s="90"/>
      <c r="E2" s="90"/>
      <c r="F2" s="90"/>
    </row>
    <row r="3" spans="1:6" x14ac:dyDescent="0.25">
      <c r="A3" s="9" t="s">
        <v>104</v>
      </c>
      <c r="B3" s="9" t="s">
        <v>105</v>
      </c>
      <c r="C3" s="9" t="s">
        <v>106</v>
      </c>
      <c r="D3" s="9" t="s">
        <v>107</v>
      </c>
      <c r="E3" s="9" t="s">
        <v>108</v>
      </c>
      <c r="F3" s="9" t="s">
        <v>60</v>
      </c>
    </row>
    <row r="4" spans="1:6" x14ac:dyDescent="0.25">
      <c r="A4" s="25">
        <v>1</v>
      </c>
      <c r="B4" s="14" t="s">
        <v>162</v>
      </c>
      <c r="C4" s="15" t="s">
        <v>116</v>
      </c>
      <c r="D4" s="15">
        <v>3</v>
      </c>
      <c r="E4" s="14" t="s">
        <v>163</v>
      </c>
      <c r="F4" s="15" t="s">
        <v>112</v>
      </c>
    </row>
    <row r="5" spans="1:6" ht="25.5" x14ac:dyDescent="0.25">
      <c r="A5" s="25">
        <v>2</v>
      </c>
      <c r="B5" s="11" t="s">
        <v>164</v>
      </c>
      <c r="C5" s="12" t="s">
        <v>116</v>
      </c>
      <c r="D5" s="12">
        <v>8</v>
      </c>
      <c r="E5" s="11" t="s">
        <v>165</v>
      </c>
      <c r="F5" s="12" t="s">
        <v>112</v>
      </c>
    </row>
    <row r="6" spans="1:6" ht="25.5" x14ac:dyDescent="0.25">
      <c r="A6" s="25">
        <v>3</v>
      </c>
      <c r="B6" s="14" t="s">
        <v>166</v>
      </c>
      <c r="C6" s="15" t="s">
        <v>121</v>
      </c>
      <c r="D6" s="15">
        <v>5</v>
      </c>
      <c r="E6" s="14" t="s">
        <v>167</v>
      </c>
      <c r="F6" s="15" t="s">
        <v>112</v>
      </c>
    </row>
    <row r="7" spans="1:6" ht="25.5" x14ac:dyDescent="0.25">
      <c r="A7" s="25">
        <v>4</v>
      </c>
      <c r="B7" s="11" t="s">
        <v>168</v>
      </c>
      <c r="C7" s="12" t="s">
        <v>121</v>
      </c>
      <c r="D7" s="12">
        <v>5</v>
      </c>
      <c r="E7" s="11" t="s">
        <v>169</v>
      </c>
      <c r="F7" s="12" t="s">
        <v>112</v>
      </c>
    </row>
    <row r="8" spans="1:6" ht="25.5" x14ac:dyDescent="0.25">
      <c r="A8" s="25">
        <v>5</v>
      </c>
      <c r="B8" s="14" t="s">
        <v>170</v>
      </c>
      <c r="C8" s="15" t="s">
        <v>110</v>
      </c>
      <c r="D8" s="15">
        <v>4</v>
      </c>
      <c r="E8" s="14" t="s">
        <v>171</v>
      </c>
      <c r="F8" s="15" t="s">
        <v>112</v>
      </c>
    </row>
    <row r="9" spans="1:6" ht="25.5" x14ac:dyDescent="0.25">
      <c r="A9" s="25">
        <v>6</v>
      </c>
      <c r="B9" s="11" t="s">
        <v>172</v>
      </c>
      <c r="C9" s="12" t="s">
        <v>110</v>
      </c>
      <c r="D9" s="12">
        <v>5</v>
      </c>
      <c r="E9" s="11" t="s">
        <v>173</v>
      </c>
      <c r="F9" s="12" t="s">
        <v>112</v>
      </c>
    </row>
    <row r="10" spans="1:6" ht="25.5" x14ac:dyDescent="0.25">
      <c r="A10" s="25">
        <v>7</v>
      </c>
      <c r="B10" s="14" t="s">
        <v>174</v>
      </c>
      <c r="C10" s="15" t="s">
        <v>121</v>
      </c>
      <c r="D10" s="15">
        <v>8</v>
      </c>
      <c r="E10" s="14" t="s">
        <v>175</v>
      </c>
      <c r="F10" s="15" t="s">
        <v>112</v>
      </c>
    </row>
    <row r="11" spans="1:6" ht="25.5" x14ac:dyDescent="0.25">
      <c r="A11" s="25">
        <v>8</v>
      </c>
      <c r="B11" s="11" t="s">
        <v>176</v>
      </c>
      <c r="C11" s="12" t="s">
        <v>110</v>
      </c>
      <c r="D11" s="12">
        <v>6</v>
      </c>
      <c r="E11" s="11" t="s">
        <v>177</v>
      </c>
      <c r="F11" s="12" t="s">
        <v>112</v>
      </c>
    </row>
    <row r="12" spans="1:6" x14ac:dyDescent="0.25">
      <c r="A12" s="25">
        <v>9</v>
      </c>
      <c r="B12" s="14" t="s">
        <v>178</v>
      </c>
      <c r="C12" s="15" t="s">
        <v>116</v>
      </c>
      <c r="D12" s="15">
        <v>5</v>
      </c>
      <c r="E12" s="14" t="s">
        <v>179</v>
      </c>
      <c r="F12" s="15" t="s">
        <v>112</v>
      </c>
    </row>
    <row r="13" spans="1:6" ht="25.5" x14ac:dyDescent="0.25">
      <c r="A13" s="25">
        <v>10</v>
      </c>
      <c r="B13" s="11" t="s">
        <v>180</v>
      </c>
      <c r="C13" s="12" t="s">
        <v>110</v>
      </c>
      <c r="D13" s="12">
        <v>4</v>
      </c>
      <c r="E13" s="11" t="s">
        <v>181</v>
      </c>
      <c r="F13" s="12" t="s">
        <v>112</v>
      </c>
    </row>
    <row r="14" spans="1:6" ht="25.5" x14ac:dyDescent="0.25">
      <c r="A14" s="25">
        <v>11</v>
      </c>
      <c r="B14" s="14" t="s">
        <v>182</v>
      </c>
      <c r="C14" s="15" t="s">
        <v>116</v>
      </c>
      <c r="D14" s="15">
        <v>4</v>
      </c>
      <c r="E14" s="14" t="s">
        <v>183</v>
      </c>
      <c r="F14" s="15" t="s">
        <v>112</v>
      </c>
    </row>
    <row r="15" spans="1:6" ht="25.5" x14ac:dyDescent="0.25">
      <c r="A15" s="25">
        <v>12</v>
      </c>
      <c r="B15" s="11" t="s">
        <v>184</v>
      </c>
      <c r="C15" s="12" t="s">
        <v>132</v>
      </c>
      <c r="D15" s="12">
        <v>3</v>
      </c>
      <c r="E15" s="11" t="s">
        <v>185</v>
      </c>
      <c r="F15" s="12" t="s">
        <v>112</v>
      </c>
    </row>
    <row r="16" spans="1:6" ht="25.5" x14ac:dyDescent="0.25">
      <c r="A16" s="95" t="s">
        <v>138</v>
      </c>
      <c r="B16" s="90"/>
      <c r="C16" s="27" t="s">
        <v>139</v>
      </c>
      <c r="D16" s="26">
        <v>9.6</v>
      </c>
      <c r="E16" s="28" t="s">
        <v>140</v>
      </c>
      <c r="F16" s="27" t="s">
        <v>141</v>
      </c>
    </row>
    <row r="17" spans="1:6" x14ac:dyDescent="0.25">
      <c r="A17" s="93" t="s">
        <v>142</v>
      </c>
      <c r="B17" s="90"/>
      <c r="C17" s="18" t="s">
        <v>143</v>
      </c>
      <c r="D17" s="19">
        <f>SUM(D5:D15)+9.6</f>
        <v>66.599999999999994</v>
      </c>
      <c r="E17" s="29" t="s">
        <v>144</v>
      </c>
      <c r="F17" s="30"/>
    </row>
    <row r="19" spans="1:6" x14ac:dyDescent="0.25">
      <c r="A19" s="96" t="s">
        <v>145</v>
      </c>
      <c r="B19" s="90"/>
      <c r="C19" s="90"/>
      <c r="D19" s="90"/>
      <c r="E19" s="90"/>
      <c r="F19" s="90"/>
    </row>
    <row r="21" spans="1:6" x14ac:dyDescent="0.25">
      <c r="A21" s="98" t="s">
        <v>146</v>
      </c>
      <c r="B21" s="90"/>
      <c r="C21" s="90"/>
      <c r="D21" s="90"/>
      <c r="E21" s="90"/>
      <c r="F21" s="90"/>
    </row>
    <row r="22" spans="1:6" x14ac:dyDescent="0.25">
      <c r="A22" s="31" t="s">
        <v>147</v>
      </c>
      <c r="B22" s="31" t="s">
        <v>148</v>
      </c>
      <c r="C22" s="31" t="s">
        <v>149</v>
      </c>
      <c r="D22" s="31" t="s">
        <v>150</v>
      </c>
    </row>
    <row r="23" spans="1:6" ht="153" x14ac:dyDescent="0.25">
      <c r="A23" s="32" t="s">
        <v>186</v>
      </c>
      <c r="B23" s="35" t="s">
        <v>156</v>
      </c>
      <c r="C23" s="33" t="s">
        <v>152</v>
      </c>
      <c r="D23" s="32" t="s">
        <v>187</v>
      </c>
    </row>
    <row r="24" spans="1:6" ht="140.25" x14ac:dyDescent="0.25">
      <c r="A24" s="32" t="s">
        <v>188</v>
      </c>
      <c r="B24" s="33" t="s">
        <v>152</v>
      </c>
      <c r="C24" s="33" t="s">
        <v>152</v>
      </c>
      <c r="D24" s="32" t="s">
        <v>189</v>
      </c>
    </row>
    <row r="25" spans="1:6" ht="140.25" x14ac:dyDescent="0.25">
      <c r="A25" s="32" t="s">
        <v>190</v>
      </c>
      <c r="B25" s="35" t="s">
        <v>156</v>
      </c>
      <c r="C25" s="35" t="s">
        <v>156</v>
      </c>
      <c r="D25" s="32" t="s">
        <v>191</v>
      </c>
    </row>
  </sheetData>
  <mergeCells count="6">
    <mergeCell ref="A21:F21"/>
    <mergeCell ref="A2:F2"/>
    <mergeCell ref="A16:B16"/>
    <mergeCell ref="A19:F19"/>
    <mergeCell ref="A1:F1"/>
    <mergeCell ref="A17:B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showGridLines="0" tabSelected="1"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1" width="5" customWidth="1"/>
    <col min="2" max="2" width="38" customWidth="1"/>
    <col min="3" max="3" width="14" customWidth="1"/>
    <col min="4" max="4" width="10" customWidth="1"/>
    <col min="5" max="5" width="42" customWidth="1"/>
    <col min="6" max="6" width="16" customWidth="1"/>
  </cols>
  <sheetData>
    <row r="1" spans="1:6" ht="18.75" x14ac:dyDescent="0.25">
      <c r="A1" s="97" t="s">
        <v>192</v>
      </c>
      <c r="B1" s="90"/>
      <c r="C1" s="90"/>
      <c r="D1" s="90"/>
      <c r="E1" s="90"/>
      <c r="F1" s="90"/>
    </row>
    <row r="2" spans="1:6" x14ac:dyDescent="0.25">
      <c r="A2" s="94" t="s">
        <v>193</v>
      </c>
      <c r="B2" s="90"/>
      <c r="C2" s="90"/>
      <c r="D2" s="90"/>
      <c r="E2" s="90"/>
      <c r="F2" s="90"/>
    </row>
    <row r="3" spans="1:6" x14ac:dyDescent="0.25">
      <c r="A3" s="9" t="s">
        <v>104</v>
      </c>
      <c r="B3" s="9" t="s">
        <v>105</v>
      </c>
      <c r="C3" s="9" t="s">
        <v>106</v>
      </c>
      <c r="D3" s="9" t="s">
        <v>107</v>
      </c>
      <c r="E3" s="9" t="s">
        <v>108</v>
      </c>
      <c r="F3" s="9" t="s">
        <v>60</v>
      </c>
    </row>
    <row r="4" spans="1:6" ht="25.5" x14ac:dyDescent="0.25">
      <c r="A4" s="25">
        <v>1</v>
      </c>
      <c r="B4" s="14" t="s">
        <v>194</v>
      </c>
      <c r="C4" s="15" t="s">
        <v>116</v>
      </c>
      <c r="D4" s="15">
        <v>3</v>
      </c>
      <c r="E4" s="14" t="s">
        <v>195</v>
      </c>
      <c r="F4" s="15" t="s">
        <v>112</v>
      </c>
    </row>
    <row r="5" spans="1:6" ht="25.5" x14ac:dyDescent="0.25">
      <c r="A5" s="25">
        <v>2</v>
      </c>
      <c r="B5" s="11" t="s">
        <v>196</v>
      </c>
      <c r="C5" s="12" t="s">
        <v>116</v>
      </c>
      <c r="D5" s="12">
        <v>8</v>
      </c>
      <c r="E5" s="11" t="s">
        <v>197</v>
      </c>
      <c r="F5" s="12" t="s">
        <v>112</v>
      </c>
    </row>
    <row r="6" spans="1:6" ht="25.5" x14ac:dyDescent="0.25">
      <c r="A6" s="25">
        <v>3</v>
      </c>
      <c r="B6" s="14" t="s">
        <v>198</v>
      </c>
      <c r="C6" s="15" t="s">
        <v>121</v>
      </c>
      <c r="D6" s="15">
        <v>7</v>
      </c>
      <c r="E6" s="14" t="s">
        <v>199</v>
      </c>
      <c r="F6" s="15" t="s">
        <v>112</v>
      </c>
    </row>
    <row r="7" spans="1:6" ht="25.5" x14ac:dyDescent="0.25">
      <c r="A7" s="25">
        <v>4</v>
      </c>
      <c r="B7" s="11" t="s">
        <v>200</v>
      </c>
      <c r="C7" s="12" t="s">
        <v>121</v>
      </c>
      <c r="D7" s="12">
        <v>8</v>
      </c>
      <c r="E7" s="11" t="s">
        <v>201</v>
      </c>
      <c r="F7" s="12" t="s">
        <v>112</v>
      </c>
    </row>
    <row r="8" spans="1:6" ht="25.5" x14ac:dyDescent="0.25">
      <c r="A8" s="25">
        <v>5</v>
      </c>
      <c r="B8" s="14" t="s">
        <v>202</v>
      </c>
      <c r="C8" s="15" t="s">
        <v>110</v>
      </c>
      <c r="D8" s="15">
        <v>7</v>
      </c>
      <c r="E8" s="14" t="s">
        <v>203</v>
      </c>
      <c r="F8" s="15" t="s">
        <v>112</v>
      </c>
    </row>
    <row r="9" spans="1:6" ht="25.5" x14ac:dyDescent="0.25">
      <c r="A9" s="25">
        <v>6</v>
      </c>
      <c r="B9" s="11" t="s">
        <v>204</v>
      </c>
      <c r="C9" s="12" t="s">
        <v>110</v>
      </c>
      <c r="D9" s="12">
        <v>6</v>
      </c>
      <c r="E9" s="11" t="s">
        <v>205</v>
      </c>
      <c r="F9" s="12" t="s">
        <v>112</v>
      </c>
    </row>
    <row r="10" spans="1:6" ht="25.5" x14ac:dyDescent="0.25">
      <c r="A10" s="25">
        <v>7</v>
      </c>
      <c r="B10" s="14" t="s">
        <v>206</v>
      </c>
      <c r="C10" s="15" t="s">
        <v>116</v>
      </c>
      <c r="D10" s="15">
        <v>2</v>
      </c>
      <c r="E10" s="14" t="s">
        <v>207</v>
      </c>
      <c r="F10" s="15" t="s">
        <v>112</v>
      </c>
    </row>
    <row r="11" spans="1:6" ht="25.5" x14ac:dyDescent="0.25">
      <c r="A11" s="25">
        <v>8</v>
      </c>
      <c r="B11" s="11" t="s">
        <v>208</v>
      </c>
      <c r="C11" s="12" t="s">
        <v>116</v>
      </c>
      <c r="D11" s="12">
        <v>5</v>
      </c>
      <c r="E11" s="11" t="s">
        <v>209</v>
      </c>
      <c r="F11" s="12" t="s">
        <v>112</v>
      </c>
    </row>
    <row r="12" spans="1:6" ht="25.5" x14ac:dyDescent="0.25">
      <c r="A12" s="25">
        <v>9</v>
      </c>
      <c r="B12" s="14" t="s">
        <v>210</v>
      </c>
      <c r="C12" s="15" t="s">
        <v>121</v>
      </c>
      <c r="D12" s="15">
        <v>6</v>
      </c>
      <c r="E12" s="14" t="s">
        <v>211</v>
      </c>
      <c r="F12" s="15" t="s">
        <v>112</v>
      </c>
    </row>
    <row r="13" spans="1:6" ht="25.5" x14ac:dyDescent="0.25">
      <c r="A13" s="25">
        <v>10</v>
      </c>
      <c r="B13" s="11" t="s">
        <v>212</v>
      </c>
      <c r="C13" s="12" t="s">
        <v>110</v>
      </c>
      <c r="D13" s="12">
        <v>5</v>
      </c>
      <c r="E13" s="11" t="s">
        <v>213</v>
      </c>
      <c r="F13" s="12" t="s">
        <v>112</v>
      </c>
    </row>
    <row r="14" spans="1:6" ht="25.5" x14ac:dyDescent="0.25">
      <c r="A14" s="25">
        <v>11</v>
      </c>
      <c r="B14" s="14" t="s">
        <v>214</v>
      </c>
      <c r="C14" s="15" t="s">
        <v>110</v>
      </c>
      <c r="D14" s="15">
        <v>4</v>
      </c>
      <c r="E14" s="14" t="s">
        <v>215</v>
      </c>
      <c r="F14" s="15" t="s">
        <v>112</v>
      </c>
    </row>
    <row r="15" spans="1:6" ht="25.5" x14ac:dyDescent="0.25">
      <c r="A15" s="25">
        <v>12</v>
      </c>
      <c r="B15" s="11" t="s">
        <v>216</v>
      </c>
      <c r="C15" s="12" t="s">
        <v>132</v>
      </c>
      <c r="D15" s="12">
        <v>3</v>
      </c>
      <c r="E15" s="11" t="s">
        <v>217</v>
      </c>
      <c r="F15" s="12" t="s">
        <v>112</v>
      </c>
    </row>
    <row r="16" spans="1:6" ht="25.5" x14ac:dyDescent="0.25">
      <c r="A16" s="95" t="s">
        <v>138</v>
      </c>
      <c r="B16" s="90"/>
      <c r="C16" s="27" t="s">
        <v>139</v>
      </c>
      <c r="D16" s="26">
        <v>9.6</v>
      </c>
      <c r="E16" s="28" t="s">
        <v>140</v>
      </c>
      <c r="F16" s="27" t="s">
        <v>141</v>
      </c>
    </row>
    <row r="17" spans="1:6" x14ac:dyDescent="0.25">
      <c r="A17" s="93" t="s">
        <v>142</v>
      </c>
      <c r="B17" s="90"/>
      <c r="C17" s="18" t="s">
        <v>143</v>
      </c>
      <c r="D17" s="19">
        <f>SUM(D5:D15)+9.6</f>
        <v>70.599999999999994</v>
      </c>
      <c r="E17" s="29" t="s">
        <v>144</v>
      </c>
      <c r="F17" s="30"/>
    </row>
    <row r="19" spans="1:6" x14ac:dyDescent="0.25">
      <c r="A19" s="96" t="s">
        <v>145</v>
      </c>
      <c r="B19" s="90"/>
      <c r="C19" s="90"/>
      <c r="D19" s="90"/>
      <c r="E19" s="90"/>
      <c r="F19" s="90"/>
    </row>
    <row r="21" spans="1:6" x14ac:dyDescent="0.25">
      <c r="A21" s="98" t="s">
        <v>146</v>
      </c>
      <c r="B21" s="90"/>
      <c r="C21" s="90"/>
      <c r="D21" s="90"/>
      <c r="E21" s="90"/>
      <c r="F21" s="90"/>
    </row>
    <row r="22" spans="1:6" x14ac:dyDescent="0.25">
      <c r="A22" s="31" t="s">
        <v>147</v>
      </c>
      <c r="B22" s="31" t="s">
        <v>148</v>
      </c>
      <c r="C22" s="31" t="s">
        <v>149</v>
      </c>
      <c r="D22" s="31" t="s">
        <v>150</v>
      </c>
    </row>
    <row r="23" spans="1:6" ht="140.25" x14ac:dyDescent="0.25">
      <c r="A23" s="32" t="s">
        <v>218</v>
      </c>
      <c r="B23" s="34" t="s">
        <v>153</v>
      </c>
      <c r="C23" s="34" t="s">
        <v>153</v>
      </c>
      <c r="D23" s="32" t="s">
        <v>219</v>
      </c>
    </row>
    <row r="24" spans="1:6" ht="102" x14ac:dyDescent="0.25">
      <c r="A24" s="32" t="s">
        <v>220</v>
      </c>
      <c r="B24" s="33" t="s">
        <v>152</v>
      </c>
      <c r="C24" s="33" t="s">
        <v>152</v>
      </c>
      <c r="D24" s="32" t="s">
        <v>221</v>
      </c>
    </row>
    <row r="25" spans="1:6" ht="140.25" x14ac:dyDescent="0.25">
      <c r="A25" s="32" t="s">
        <v>222</v>
      </c>
      <c r="B25" s="33" t="s">
        <v>152</v>
      </c>
      <c r="C25" s="34" t="s">
        <v>153</v>
      </c>
      <c r="D25" s="32" t="s">
        <v>223</v>
      </c>
    </row>
  </sheetData>
  <mergeCells count="6">
    <mergeCell ref="A21:F21"/>
    <mergeCell ref="A2:F2"/>
    <mergeCell ref="A16:B16"/>
    <mergeCell ref="A19:F19"/>
    <mergeCell ref="A1:F1"/>
    <mergeCell ref="A17:B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38" customWidth="1"/>
    <col min="3" max="3" width="14" customWidth="1"/>
    <col min="4" max="4" width="10" customWidth="1"/>
    <col min="5" max="5" width="42" customWidth="1"/>
    <col min="6" max="6" width="16" customWidth="1"/>
  </cols>
  <sheetData>
    <row r="1" spans="1:6" ht="18.75" x14ac:dyDescent="0.25">
      <c r="A1" s="97" t="s">
        <v>224</v>
      </c>
      <c r="B1" s="90"/>
      <c r="C1" s="90"/>
      <c r="D1" s="90"/>
      <c r="E1" s="90"/>
      <c r="F1" s="90"/>
    </row>
    <row r="2" spans="1:6" x14ac:dyDescent="0.25">
      <c r="A2" s="94" t="s">
        <v>225</v>
      </c>
      <c r="B2" s="90"/>
      <c r="C2" s="90"/>
      <c r="D2" s="90"/>
      <c r="E2" s="90"/>
      <c r="F2" s="90"/>
    </row>
    <row r="3" spans="1:6" x14ac:dyDescent="0.25">
      <c r="A3" s="9" t="s">
        <v>104</v>
      </c>
      <c r="B3" s="9" t="s">
        <v>105</v>
      </c>
      <c r="C3" s="9" t="s">
        <v>106</v>
      </c>
      <c r="D3" s="9" t="s">
        <v>107</v>
      </c>
      <c r="E3" s="9" t="s">
        <v>108</v>
      </c>
      <c r="F3" s="9" t="s">
        <v>60</v>
      </c>
    </row>
    <row r="4" spans="1:6" ht="25.5" x14ac:dyDescent="0.25">
      <c r="A4" s="25">
        <v>1</v>
      </c>
      <c r="B4" s="14" t="s">
        <v>226</v>
      </c>
      <c r="C4" s="15" t="s">
        <v>116</v>
      </c>
      <c r="D4" s="15">
        <v>3</v>
      </c>
      <c r="E4" s="14" t="s">
        <v>227</v>
      </c>
      <c r="F4" s="15" t="s">
        <v>112</v>
      </c>
    </row>
    <row r="5" spans="1:6" ht="25.5" x14ac:dyDescent="0.25">
      <c r="A5" s="25">
        <v>2</v>
      </c>
      <c r="B5" s="11" t="s">
        <v>228</v>
      </c>
      <c r="C5" s="12" t="s">
        <v>116</v>
      </c>
      <c r="D5" s="12">
        <v>6</v>
      </c>
      <c r="E5" s="11" t="s">
        <v>229</v>
      </c>
      <c r="F5" s="12" t="s">
        <v>112</v>
      </c>
    </row>
    <row r="6" spans="1:6" ht="25.5" x14ac:dyDescent="0.25">
      <c r="A6" s="25">
        <v>3</v>
      </c>
      <c r="B6" s="14" t="s">
        <v>230</v>
      </c>
      <c r="C6" s="15" t="s">
        <v>121</v>
      </c>
      <c r="D6" s="15">
        <v>7</v>
      </c>
      <c r="E6" s="14" t="s">
        <v>231</v>
      </c>
      <c r="F6" s="15" t="s">
        <v>112</v>
      </c>
    </row>
    <row r="7" spans="1:6" ht="25.5" x14ac:dyDescent="0.25">
      <c r="A7" s="25">
        <v>4</v>
      </c>
      <c r="B7" s="11" t="s">
        <v>232</v>
      </c>
      <c r="C7" s="12" t="s">
        <v>110</v>
      </c>
      <c r="D7" s="12">
        <v>5</v>
      </c>
      <c r="E7" s="11" t="s">
        <v>233</v>
      </c>
      <c r="F7" s="12" t="s">
        <v>112</v>
      </c>
    </row>
    <row r="8" spans="1:6" ht="25.5" x14ac:dyDescent="0.25">
      <c r="A8" s="25">
        <v>5</v>
      </c>
      <c r="B8" s="14" t="s">
        <v>234</v>
      </c>
      <c r="C8" s="15" t="s">
        <v>116</v>
      </c>
      <c r="D8" s="15">
        <v>2</v>
      </c>
      <c r="E8" s="14" t="s">
        <v>235</v>
      </c>
      <c r="F8" s="15" t="s">
        <v>112</v>
      </c>
    </row>
    <row r="9" spans="1:6" ht="25.5" x14ac:dyDescent="0.25">
      <c r="A9" s="25">
        <v>6</v>
      </c>
      <c r="B9" s="11" t="s">
        <v>236</v>
      </c>
      <c r="C9" s="12" t="s">
        <v>116</v>
      </c>
      <c r="D9" s="12">
        <v>5</v>
      </c>
      <c r="E9" s="11" t="s">
        <v>237</v>
      </c>
      <c r="F9" s="12" t="s">
        <v>112</v>
      </c>
    </row>
    <row r="10" spans="1:6" ht="25.5" x14ac:dyDescent="0.25">
      <c r="A10" s="25">
        <v>7</v>
      </c>
      <c r="B10" s="14" t="s">
        <v>238</v>
      </c>
      <c r="C10" s="15" t="s">
        <v>121</v>
      </c>
      <c r="D10" s="15">
        <v>7</v>
      </c>
      <c r="E10" s="14" t="s">
        <v>239</v>
      </c>
      <c r="F10" s="15" t="s">
        <v>112</v>
      </c>
    </row>
    <row r="11" spans="1:6" ht="25.5" x14ac:dyDescent="0.25">
      <c r="A11" s="25">
        <v>8</v>
      </c>
      <c r="B11" s="11" t="s">
        <v>240</v>
      </c>
      <c r="C11" s="12" t="s">
        <v>110</v>
      </c>
      <c r="D11" s="12">
        <v>3</v>
      </c>
      <c r="E11" s="11" t="s">
        <v>241</v>
      </c>
      <c r="F11" s="12" t="s">
        <v>112</v>
      </c>
    </row>
    <row r="12" spans="1:6" ht="25.5" x14ac:dyDescent="0.25">
      <c r="A12" s="25">
        <v>9</v>
      </c>
      <c r="B12" s="14" t="s">
        <v>242</v>
      </c>
      <c r="C12" s="15" t="s">
        <v>110</v>
      </c>
      <c r="D12" s="15">
        <v>4</v>
      </c>
      <c r="E12" s="14" t="s">
        <v>243</v>
      </c>
      <c r="F12" s="15" t="s">
        <v>112</v>
      </c>
    </row>
    <row r="13" spans="1:6" ht="25.5" x14ac:dyDescent="0.25">
      <c r="A13" s="25">
        <v>10</v>
      </c>
      <c r="B13" s="11" t="s">
        <v>244</v>
      </c>
      <c r="C13" s="12" t="s">
        <v>110</v>
      </c>
      <c r="D13" s="12">
        <v>7</v>
      </c>
      <c r="E13" s="11" t="s">
        <v>245</v>
      </c>
      <c r="F13" s="12" t="s">
        <v>112</v>
      </c>
    </row>
    <row r="14" spans="1:6" ht="25.5" x14ac:dyDescent="0.25">
      <c r="A14" s="25">
        <v>11</v>
      </c>
      <c r="B14" s="14" t="s">
        <v>246</v>
      </c>
      <c r="C14" s="15" t="s">
        <v>110</v>
      </c>
      <c r="D14" s="15">
        <v>5</v>
      </c>
      <c r="E14" s="14" t="s">
        <v>247</v>
      </c>
      <c r="F14" s="15" t="s">
        <v>112</v>
      </c>
    </row>
    <row r="15" spans="1:6" ht="25.5" x14ac:dyDescent="0.25">
      <c r="A15" s="25">
        <v>12</v>
      </c>
      <c r="B15" s="11" t="s">
        <v>248</v>
      </c>
      <c r="C15" s="12" t="s">
        <v>121</v>
      </c>
      <c r="D15" s="12">
        <v>7</v>
      </c>
      <c r="E15" s="11" t="s">
        <v>249</v>
      </c>
      <c r="F15" s="12" t="s">
        <v>112</v>
      </c>
    </row>
    <row r="16" spans="1:6" ht="25.5" x14ac:dyDescent="0.25">
      <c r="A16" s="25">
        <v>13</v>
      </c>
      <c r="B16" s="14" t="s">
        <v>250</v>
      </c>
      <c r="C16" s="15" t="s">
        <v>132</v>
      </c>
      <c r="D16" s="15">
        <v>3</v>
      </c>
      <c r="E16" s="14" t="s">
        <v>251</v>
      </c>
      <c r="F16" s="15" t="s">
        <v>112</v>
      </c>
    </row>
    <row r="17" spans="1:6" ht="25.5" x14ac:dyDescent="0.25">
      <c r="A17" s="95" t="s">
        <v>138</v>
      </c>
      <c r="B17" s="90"/>
      <c r="C17" s="27" t="s">
        <v>139</v>
      </c>
      <c r="D17" s="26">
        <v>9.6</v>
      </c>
      <c r="E17" s="28" t="s">
        <v>140</v>
      </c>
      <c r="F17" s="27" t="s">
        <v>141</v>
      </c>
    </row>
    <row r="18" spans="1:6" x14ac:dyDescent="0.25">
      <c r="A18" s="93" t="s">
        <v>142</v>
      </c>
      <c r="B18" s="90"/>
      <c r="C18" s="18" t="s">
        <v>143</v>
      </c>
      <c r="D18" s="19">
        <f>SUM(D5:D16)+9.6</f>
        <v>70.599999999999994</v>
      </c>
      <c r="E18" s="29" t="s">
        <v>144</v>
      </c>
      <c r="F18" s="30"/>
    </row>
    <row r="20" spans="1:6" x14ac:dyDescent="0.25">
      <c r="A20" s="96" t="s">
        <v>145</v>
      </c>
      <c r="B20" s="90"/>
      <c r="C20" s="90"/>
      <c r="D20" s="90"/>
      <c r="E20" s="90"/>
      <c r="F20" s="90"/>
    </row>
    <row r="22" spans="1:6" x14ac:dyDescent="0.25">
      <c r="A22" s="98" t="s">
        <v>146</v>
      </c>
      <c r="B22" s="90"/>
      <c r="C22" s="90"/>
      <c r="D22" s="90"/>
      <c r="E22" s="90"/>
      <c r="F22" s="90"/>
    </row>
    <row r="23" spans="1:6" x14ac:dyDescent="0.25">
      <c r="A23" s="31" t="s">
        <v>147</v>
      </c>
      <c r="B23" s="31" t="s">
        <v>148</v>
      </c>
      <c r="C23" s="31" t="s">
        <v>149</v>
      </c>
      <c r="D23" s="31" t="s">
        <v>150</v>
      </c>
    </row>
    <row r="24" spans="1:6" ht="165.75" x14ac:dyDescent="0.25">
      <c r="A24" s="32" t="s">
        <v>252</v>
      </c>
      <c r="B24" s="33" t="s">
        <v>152</v>
      </c>
      <c r="C24" s="33" t="s">
        <v>152</v>
      </c>
      <c r="D24" s="32" t="s">
        <v>253</v>
      </c>
    </row>
    <row r="25" spans="1:6" ht="165.75" x14ac:dyDescent="0.25">
      <c r="A25" s="32" t="s">
        <v>254</v>
      </c>
      <c r="B25" s="34" t="s">
        <v>153</v>
      </c>
      <c r="C25" s="33" t="s">
        <v>152</v>
      </c>
      <c r="D25" s="32" t="s">
        <v>255</v>
      </c>
    </row>
    <row r="26" spans="1:6" ht="89.25" x14ac:dyDescent="0.25">
      <c r="A26" s="32" t="s">
        <v>256</v>
      </c>
      <c r="B26" s="35" t="s">
        <v>156</v>
      </c>
      <c r="C26" s="35" t="s">
        <v>156</v>
      </c>
      <c r="D26" s="32" t="s">
        <v>257</v>
      </c>
    </row>
  </sheetData>
  <mergeCells count="6">
    <mergeCell ref="A2:F2"/>
    <mergeCell ref="A1:F1"/>
    <mergeCell ref="A22:F22"/>
    <mergeCell ref="A17:B17"/>
    <mergeCell ref="A18:B18"/>
    <mergeCell ref="A20:F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38" customWidth="1"/>
    <col min="3" max="3" width="14" customWidth="1"/>
    <col min="4" max="4" width="10" customWidth="1"/>
    <col min="5" max="5" width="42" customWidth="1"/>
    <col min="6" max="6" width="16" customWidth="1"/>
  </cols>
  <sheetData>
    <row r="1" spans="1:6" ht="18.75" x14ac:dyDescent="0.25">
      <c r="A1" s="97" t="s">
        <v>258</v>
      </c>
      <c r="B1" s="90"/>
      <c r="C1" s="90"/>
      <c r="D1" s="90"/>
      <c r="E1" s="90"/>
      <c r="F1" s="90"/>
    </row>
    <row r="2" spans="1:6" x14ac:dyDescent="0.25">
      <c r="A2" s="94" t="s">
        <v>259</v>
      </c>
      <c r="B2" s="90"/>
      <c r="C2" s="90"/>
      <c r="D2" s="90"/>
      <c r="E2" s="90"/>
      <c r="F2" s="90"/>
    </row>
    <row r="3" spans="1:6" x14ac:dyDescent="0.25">
      <c r="A3" s="9" t="s">
        <v>104</v>
      </c>
      <c r="B3" s="9" t="s">
        <v>105</v>
      </c>
      <c r="C3" s="9" t="s">
        <v>106</v>
      </c>
      <c r="D3" s="9" t="s">
        <v>107</v>
      </c>
      <c r="E3" s="9" t="s">
        <v>108</v>
      </c>
      <c r="F3" s="9" t="s">
        <v>60</v>
      </c>
    </row>
    <row r="4" spans="1:6" ht="25.5" x14ac:dyDescent="0.25">
      <c r="A4" s="25">
        <v>1</v>
      </c>
      <c r="B4" s="14" t="s">
        <v>260</v>
      </c>
      <c r="C4" s="15" t="s">
        <v>116</v>
      </c>
      <c r="D4" s="15">
        <v>3</v>
      </c>
      <c r="E4" s="14" t="s">
        <v>261</v>
      </c>
      <c r="F4" s="15" t="s">
        <v>112</v>
      </c>
    </row>
    <row r="5" spans="1:6" ht="25.5" x14ac:dyDescent="0.25">
      <c r="A5" s="25">
        <v>2</v>
      </c>
      <c r="B5" s="11" t="s">
        <v>262</v>
      </c>
      <c r="C5" s="12" t="s">
        <v>132</v>
      </c>
      <c r="D5" s="12">
        <v>4</v>
      </c>
      <c r="E5" s="11" t="s">
        <v>263</v>
      </c>
      <c r="F5" s="12" t="s">
        <v>112</v>
      </c>
    </row>
    <row r="6" spans="1:6" ht="25.5" x14ac:dyDescent="0.25">
      <c r="A6" s="25">
        <v>3</v>
      </c>
      <c r="B6" s="14" t="s">
        <v>264</v>
      </c>
      <c r="C6" s="15" t="s">
        <v>121</v>
      </c>
      <c r="D6" s="15">
        <v>8</v>
      </c>
      <c r="E6" s="14" t="s">
        <v>265</v>
      </c>
      <c r="F6" s="15" t="s">
        <v>112</v>
      </c>
    </row>
    <row r="7" spans="1:6" ht="25.5" x14ac:dyDescent="0.25">
      <c r="A7" s="25">
        <v>4</v>
      </c>
      <c r="B7" s="11" t="s">
        <v>266</v>
      </c>
      <c r="C7" s="12" t="s">
        <v>121</v>
      </c>
      <c r="D7" s="12">
        <v>7</v>
      </c>
      <c r="E7" s="11" t="s">
        <v>267</v>
      </c>
      <c r="F7" s="12" t="s">
        <v>112</v>
      </c>
    </row>
    <row r="8" spans="1:6" ht="25.5" x14ac:dyDescent="0.25">
      <c r="A8" s="25">
        <v>5</v>
      </c>
      <c r="B8" s="14" t="s">
        <v>268</v>
      </c>
      <c r="C8" s="15" t="s">
        <v>110</v>
      </c>
      <c r="D8" s="15">
        <v>7</v>
      </c>
      <c r="E8" s="14" t="s">
        <v>269</v>
      </c>
      <c r="F8" s="15" t="s">
        <v>112</v>
      </c>
    </row>
    <row r="9" spans="1:6" ht="25.5" x14ac:dyDescent="0.25">
      <c r="A9" s="25">
        <v>6</v>
      </c>
      <c r="B9" s="11" t="s">
        <v>270</v>
      </c>
      <c r="C9" s="12" t="s">
        <v>116</v>
      </c>
      <c r="D9" s="12">
        <v>8</v>
      </c>
      <c r="E9" s="11" t="s">
        <v>271</v>
      </c>
      <c r="F9" s="12" t="s">
        <v>112</v>
      </c>
    </row>
    <row r="10" spans="1:6" ht="25.5" x14ac:dyDescent="0.25">
      <c r="A10" s="25">
        <v>7</v>
      </c>
      <c r="B10" s="14" t="s">
        <v>272</v>
      </c>
      <c r="C10" s="15" t="s">
        <v>110</v>
      </c>
      <c r="D10" s="15">
        <v>5</v>
      </c>
      <c r="E10" s="14" t="s">
        <v>273</v>
      </c>
      <c r="F10" s="15" t="s">
        <v>112</v>
      </c>
    </row>
    <row r="11" spans="1:6" ht="25.5" x14ac:dyDescent="0.25">
      <c r="A11" s="25">
        <v>8</v>
      </c>
      <c r="B11" s="11" t="s">
        <v>274</v>
      </c>
      <c r="C11" s="12" t="s">
        <v>275</v>
      </c>
      <c r="D11" s="12">
        <v>8</v>
      </c>
      <c r="E11" s="11" t="s">
        <v>276</v>
      </c>
      <c r="F11" s="12" t="s">
        <v>112</v>
      </c>
    </row>
    <row r="12" spans="1:6" ht="25.5" x14ac:dyDescent="0.25">
      <c r="A12" s="25">
        <v>9</v>
      </c>
      <c r="B12" s="14" t="s">
        <v>277</v>
      </c>
      <c r="C12" s="15" t="s">
        <v>116</v>
      </c>
      <c r="D12" s="15">
        <v>5</v>
      </c>
      <c r="E12" s="14" t="s">
        <v>278</v>
      </c>
      <c r="F12" s="15" t="s">
        <v>112</v>
      </c>
    </row>
    <row r="13" spans="1:6" ht="25.5" x14ac:dyDescent="0.25">
      <c r="A13" s="25">
        <v>10</v>
      </c>
      <c r="B13" s="11" t="s">
        <v>279</v>
      </c>
      <c r="C13" s="12" t="s">
        <v>116</v>
      </c>
      <c r="D13" s="12">
        <v>4</v>
      </c>
      <c r="E13" s="11" t="s">
        <v>280</v>
      </c>
      <c r="F13" s="12" t="s">
        <v>112</v>
      </c>
    </row>
    <row r="14" spans="1:6" ht="25.5" x14ac:dyDescent="0.25">
      <c r="A14" s="25">
        <v>11</v>
      </c>
      <c r="B14" s="14" t="s">
        <v>281</v>
      </c>
      <c r="C14" s="15" t="s">
        <v>110</v>
      </c>
      <c r="D14" s="15">
        <v>4</v>
      </c>
      <c r="E14" s="14" t="s">
        <v>282</v>
      </c>
      <c r="F14" s="15" t="s">
        <v>112</v>
      </c>
    </row>
    <row r="15" spans="1:6" ht="25.5" x14ac:dyDescent="0.25">
      <c r="A15" s="25">
        <v>12</v>
      </c>
      <c r="B15" s="11" t="s">
        <v>283</v>
      </c>
      <c r="C15" s="12" t="s">
        <v>132</v>
      </c>
      <c r="D15" s="12">
        <v>3</v>
      </c>
      <c r="E15" s="11" t="s">
        <v>284</v>
      </c>
      <c r="F15" s="12" t="s">
        <v>112</v>
      </c>
    </row>
    <row r="16" spans="1:6" ht="25.5" x14ac:dyDescent="0.25">
      <c r="A16" s="95" t="s">
        <v>138</v>
      </c>
      <c r="B16" s="90"/>
      <c r="C16" s="27" t="s">
        <v>139</v>
      </c>
      <c r="D16" s="26">
        <v>9.6</v>
      </c>
      <c r="E16" s="28" t="s">
        <v>140</v>
      </c>
      <c r="F16" s="27" t="s">
        <v>141</v>
      </c>
    </row>
    <row r="17" spans="1:6" x14ac:dyDescent="0.25">
      <c r="A17" s="93" t="s">
        <v>142</v>
      </c>
      <c r="B17" s="90"/>
      <c r="C17" s="18" t="s">
        <v>143</v>
      </c>
      <c r="D17" s="19">
        <f>SUM(D5:D15)+9.6</f>
        <v>72.599999999999994</v>
      </c>
      <c r="E17" s="29" t="s">
        <v>144</v>
      </c>
      <c r="F17" s="30"/>
    </row>
    <row r="19" spans="1:6" x14ac:dyDescent="0.25">
      <c r="A19" s="96" t="s">
        <v>145</v>
      </c>
      <c r="B19" s="90"/>
      <c r="C19" s="90"/>
      <c r="D19" s="90"/>
      <c r="E19" s="90"/>
      <c r="F19" s="90"/>
    </row>
    <row r="21" spans="1:6" x14ac:dyDescent="0.25">
      <c r="A21" s="98" t="s">
        <v>146</v>
      </c>
      <c r="B21" s="90"/>
      <c r="C21" s="90"/>
      <c r="D21" s="90"/>
      <c r="E21" s="90"/>
      <c r="F21" s="90"/>
    </row>
    <row r="22" spans="1:6" x14ac:dyDescent="0.25">
      <c r="A22" s="31" t="s">
        <v>147</v>
      </c>
      <c r="B22" s="31" t="s">
        <v>148</v>
      </c>
      <c r="C22" s="31" t="s">
        <v>149</v>
      </c>
      <c r="D22" s="31" t="s">
        <v>150</v>
      </c>
    </row>
    <row r="23" spans="1:6" ht="153" x14ac:dyDescent="0.25">
      <c r="A23" s="32" t="s">
        <v>285</v>
      </c>
      <c r="B23" s="34" t="s">
        <v>153</v>
      </c>
      <c r="C23" s="33" t="s">
        <v>152</v>
      </c>
      <c r="D23" s="32" t="s">
        <v>286</v>
      </c>
    </row>
    <row r="24" spans="1:6" ht="140.25" x14ac:dyDescent="0.25">
      <c r="A24" s="32" t="s">
        <v>287</v>
      </c>
      <c r="B24" s="33" t="s">
        <v>152</v>
      </c>
      <c r="C24" s="33" t="s">
        <v>152</v>
      </c>
      <c r="D24" s="32" t="s">
        <v>288</v>
      </c>
    </row>
    <row r="25" spans="1:6" ht="89.25" x14ac:dyDescent="0.25">
      <c r="A25" s="32" t="s">
        <v>289</v>
      </c>
      <c r="B25" s="33" t="s">
        <v>152</v>
      </c>
      <c r="C25" s="35" t="s">
        <v>156</v>
      </c>
      <c r="D25" s="32" t="s">
        <v>290</v>
      </c>
    </row>
  </sheetData>
  <mergeCells count="6">
    <mergeCell ref="A21:F21"/>
    <mergeCell ref="A2:F2"/>
    <mergeCell ref="A16:B16"/>
    <mergeCell ref="A19:F19"/>
    <mergeCell ref="A1:F1"/>
    <mergeCell ref="A17:B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38" customWidth="1"/>
    <col min="3" max="3" width="14" customWidth="1"/>
    <col min="4" max="4" width="10" customWidth="1"/>
    <col min="5" max="5" width="42" customWidth="1"/>
    <col min="6" max="6" width="16" customWidth="1"/>
  </cols>
  <sheetData>
    <row r="1" spans="1:6" ht="18.75" x14ac:dyDescent="0.25">
      <c r="A1" s="97" t="s">
        <v>291</v>
      </c>
      <c r="B1" s="90"/>
      <c r="C1" s="90"/>
      <c r="D1" s="90"/>
      <c r="E1" s="90"/>
      <c r="F1" s="90"/>
    </row>
    <row r="2" spans="1:6" x14ac:dyDescent="0.25">
      <c r="A2" s="94" t="s">
        <v>292</v>
      </c>
      <c r="B2" s="90"/>
      <c r="C2" s="90"/>
      <c r="D2" s="90"/>
      <c r="E2" s="90"/>
      <c r="F2" s="90"/>
    </row>
    <row r="3" spans="1:6" x14ac:dyDescent="0.25">
      <c r="A3" s="9" t="s">
        <v>104</v>
      </c>
      <c r="B3" s="9" t="s">
        <v>105</v>
      </c>
      <c r="C3" s="9" t="s">
        <v>106</v>
      </c>
      <c r="D3" s="9" t="s">
        <v>107</v>
      </c>
      <c r="E3" s="9" t="s">
        <v>108</v>
      </c>
      <c r="F3" s="9" t="s">
        <v>60</v>
      </c>
    </row>
    <row r="4" spans="1:6" ht="25.5" x14ac:dyDescent="0.25">
      <c r="A4" s="25">
        <v>1</v>
      </c>
      <c r="B4" s="14" t="s">
        <v>293</v>
      </c>
      <c r="C4" s="15" t="s">
        <v>116</v>
      </c>
      <c r="D4" s="15">
        <v>10</v>
      </c>
      <c r="E4" s="14" t="s">
        <v>294</v>
      </c>
      <c r="F4" s="15" t="s">
        <v>112</v>
      </c>
    </row>
    <row r="5" spans="1:6" ht="25.5" x14ac:dyDescent="0.25">
      <c r="A5" s="25">
        <v>2</v>
      </c>
      <c r="B5" s="11" t="s">
        <v>295</v>
      </c>
      <c r="C5" s="12" t="s">
        <v>116</v>
      </c>
      <c r="D5" s="12">
        <v>7</v>
      </c>
      <c r="E5" s="11" t="s">
        <v>296</v>
      </c>
      <c r="F5" s="12" t="s">
        <v>112</v>
      </c>
    </row>
    <row r="6" spans="1:6" ht="25.5" x14ac:dyDescent="0.25">
      <c r="A6" s="25">
        <v>3</v>
      </c>
      <c r="B6" s="14" t="s">
        <v>297</v>
      </c>
      <c r="C6" s="15" t="s">
        <v>121</v>
      </c>
      <c r="D6" s="15">
        <v>7</v>
      </c>
      <c r="E6" s="14" t="s">
        <v>298</v>
      </c>
      <c r="F6" s="15" t="s">
        <v>112</v>
      </c>
    </row>
    <row r="7" spans="1:6" ht="25.5" x14ac:dyDescent="0.25">
      <c r="A7" s="25">
        <v>4</v>
      </c>
      <c r="B7" s="11" t="s">
        <v>299</v>
      </c>
      <c r="C7" s="12" t="s">
        <v>121</v>
      </c>
      <c r="D7" s="12">
        <v>6</v>
      </c>
      <c r="E7" s="11" t="s">
        <v>300</v>
      </c>
      <c r="F7" s="12" t="s">
        <v>112</v>
      </c>
    </row>
    <row r="8" spans="1:6" ht="25.5" x14ac:dyDescent="0.25">
      <c r="A8" s="25">
        <v>5</v>
      </c>
      <c r="B8" s="14" t="s">
        <v>301</v>
      </c>
      <c r="C8" s="15" t="s">
        <v>110</v>
      </c>
      <c r="D8" s="15">
        <v>6</v>
      </c>
      <c r="E8" s="14" t="s">
        <v>302</v>
      </c>
      <c r="F8" s="15" t="s">
        <v>112</v>
      </c>
    </row>
    <row r="9" spans="1:6" ht="25.5" x14ac:dyDescent="0.25">
      <c r="A9" s="25">
        <v>6</v>
      </c>
      <c r="B9" s="11" t="s">
        <v>303</v>
      </c>
      <c r="C9" s="12" t="s">
        <v>110</v>
      </c>
      <c r="D9" s="12">
        <v>3</v>
      </c>
      <c r="E9" s="11" t="s">
        <v>304</v>
      </c>
      <c r="F9" s="12" t="s">
        <v>112</v>
      </c>
    </row>
    <row r="10" spans="1:6" ht="25.5" x14ac:dyDescent="0.25">
      <c r="A10" s="25">
        <v>7</v>
      </c>
      <c r="B10" s="14" t="s">
        <v>305</v>
      </c>
      <c r="C10" s="15" t="s">
        <v>116</v>
      </c>
      <c r="D10" s="15">
        <v>6</v>
      </c>
      <c r="E10" s="14" t="s">
        <v>306</v>
      </c>
      <c r="F10" s="15" t="s">
        <v>112</v>
      </c>
    </row>
    <row r="11" spans="1:6" ht="25.5" x14ac:dyDescent="0.25">
      <c r="A11" s="25">
        <v>8</v>
      </c>
      <c r="B11" s="11" t="s">
        <v>307</v>
      </c>
      <c r="C11" s="12" t="s">
        <v>110</v>
      </c>
      <c r="D11" s="12">
        <v>3</v>
      </c>
      <c r="E11" s="11" t="s">
        <v>308</v>
      </c>
      <c r="F11" s="12" t="s">
        <v>112</v>
      </c>
    </row>
    <row r="12" spans="1:6" ht="25.5" x14ac:dyDescent="0.25">
      <c r="A12" s="25">
        <v>9</v>
      </c>
      <c r="B12" s="14" t="s">
        <v>309</v>
      </c>
      <c r="C12" s="15" t="s">
        <v>121</v>
      </c>
      <c r="D12" s="15">
        <v>7</v>
      </c>
      <c r="E12" s="14" t="s">
        <v>310</v>
      </c>
      <c r="F12" s="15" t="s">
        <v>112</v>
      </c>
    </row>
    <row r="13" spans="1:6" ht="25.5" x14ac:dyDescent="0.25">
      <c r="A13" s="25">
        <v>10</v>
      </c>
      <c r="B13" s="11" t="s">
        <v>311</v>
      </c>
      <c r="C13" s="12" t="s">
        <v>110</v>
      </c>
      <c r="D13" s="12">
        <v>4</v>
      </c>
      <c r="E13" s="11" t="s">
        <v>312</v>
      </c>
      <c r="F13" s="12" t="s">
        <v>112</v>
      </c>
    </row>
    <row r="14" spans="1:6" ht="25.5" x14ac:dyDescent="0.25">
      <c r="A14" s="25">
        <v>11</v>
      </c>
      <c r="B14" s="14" t="s">
        <v>313</v>
      </c>
      <c r="C14" s="15" t="s">
        <v>121</v>
      </c>
      <c r="D14" s="15">
        <v>4</v>
      </c>
      <c r="E14" s="14" t="s">
        <v>314</v>
      </c>
      <c r="F14" s="15" t="s">
        <v>112</v>
      </c>
    </row>
    <row r="15" spans="1:6" ht="25.5" x14ac:dyDescent="0.25">
      <c r="A15" s="25">
        <v>12</v>
      </c>
      <c r="B15" s="11" t="s">
        <v>315</v>
      </c>
      <c r="C15" s="12" t="s">
        <v>116</v>
      </c>
      <c r="D15" s="12">
        <v>3</v>
      </c>
      <c r="E15" s="11" t="s">
        <v>316</v>
      </c>
      <c r="F15" s="12" t="s">
        <v>112</v>
      </c>
    </row>
    <row r="16" spans="1:6" ht="25.5" x14ac:dyDescent="0.25">
      <c r="A16" s="25">
        <v>13</v>
      </c>
      <c r="B16" s="14" t="s">
        <v>317</v>
      </c>
      <c r="C16" s="15" t="s">
        <v>132</v>
      </c>
      <c r="D16" s="15">
        <v>3</v>
      </c>
      <c r="E16" s="14" t="s">
        <v>318</v>
      </c>
      <c r="F16" s="15" t="s">
        <v>112</v>
      </c>
    </row>
    <row r="17" spans="1:6" ht="25.5" x14ac:dyDescent="0.25">
      <c r="A17" s="95" t="s">
        <v>138</v>
      </c>
      <c r="B17" s="90"/>
      <c r="C17" s="27" t="s">
        <v>139</v>
      </c>
      <c r="D17" s="26">
        <v>9.6</v>
      </c>
      <c r="E17" s="28" t="s">
        <v>140</v>
      </c>
      <c r="F17" s="27" t="s">
        <v>141</v>
      </c>
    </row>
    <row r="18" spans="1:6" x14ac:dyDescent="0.25">
      <c r="A18" s="93" t="s">
        <v>142</v>
      </c>
      <c r="B18" s="90"/>
      <c r="C18" s="18" t="s">
        <v>143</v>
      </c>
      <c r="D18" s="19">
        <f>SUM(D5:D16)+9.6</f>
        <v>68.599999999999994</v>
      </c>
      <c r="E18" s="29" t="s">
        <v>144</v>
      </c>
      <c r="F18" s="30"/>
    </row>
    <row r="20" spans="1:6" x14ac:dyDescent="0.25">
      <c r="A20" s="96" t="s">
        <v>145</v>
      </c>
      <c r="B20" s="90"/>
      <c r="C20" s="90"/>
      <c r="D20" s="90"/>
      <c r="E20" s="90"/>
      <c r="F20" s="90"/>
    </row>
    <row r="22" spans="1:6" x14ac:dyDescent="0.25">
      <c r="A22" s="98" t="s">
        <v>146</v>
      </c>
      <c r="B22" s="90"/>
      <c r="C22" s="90"/>
      <c r="D22" s="90"/>
      <c r="E22" s="90"/>
      <c r="F22" s="90"/>
    </row>
    <row r="23" spans="1:6" x14ac:dyDescent="0.25">
      <c r="A23" s="31" t="s">
        <v>147</v>
      </c>
      <c r="B23" s="31" t="s">
        <v>148</v>
      </c>
      <c r="C23" s="31" t="s">
        <v>149</v>
      </c>
      <c r="D23" s="31" t="s">
        <v>150</v>
      </c>
    </row>
    <row r="24" spans="1:6" ht="204" x14ac:dyDescent="0.25">
      <c r="A24" s="32" t="s">
        <v>319</v>
      </c>
      <c r="B24" s="34" t="s">
        <v>153</v>
      </c>
      <c r="C24" s="34" t="s">
        <v>153</v>
      </c>
      <c r="D24" s="32" t="s">
        <v>320</v>
      </c>
    </row>
    <row r="25" spans="1:6" ht="102" x14ac:dyDescent="0.25">
      <c r="A25" s="32" t="s">
        <v>321</v>
      </c>
      <c r="B25" s="33" t="s">
        <v>152</v>
      </c>
      <c r="C25" s="33" t="s">
        <v>152</v>
      </c>
      <c r="D25" s="32" t="s">
        <v>322</v>
      </c>
    </row>
    <row r="26" spans="1:6" ht="165.75" x14ac:dyDescent="0.25">
      <c r="A26" s="32" t="s">
        <v>323</v>
      </c>
      <c r="B26" s="33" t="s">
        <v>152</v>
      </c>
      <c r="C26" s="33" t="s">
        <v>152</v>
      </c>
      <c r="D26" s="32" t="s">
        <v>324</v>
      </c>
    </row>
  </sheetData>
  <mergeCells count="6">
    <mergeCell ref="A2:F2"/>
    <mergeCell ref="A1:F1"/>
    <mergeCell ref="A22:F22"/>
    <mergeCell ref="A17:B17"/>
    <mergeCell ref="A18:B18"/>
    <mergeCell ref="A20:F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6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38" customWidth="1"/>
    <col min="3" max="3" width="14" customWidth="1"/>
    <col min="4" max="4" width="10" customWidth="1"/>
    <col min="5" max="5" width="42" customWidth="1"/>
    <col min="6" max="6" width="16" customWidth="1"/>
  </cols>
  <sheetData>
    <row r="1" spans="1:6" ht="18.75" x14ac:dyDescent="0.25">
      <c r="A1" s="97" t="s">
        <v>325</v>
      </c>
      <c r="B1" s="90"/>
      <c r="C1" s="90"/>
      <c r="D1" s="90"/>
      <c r="E1" s="90"/>
      <c r="F1" s="90"/>
    </row>
    <row r="2" spans="1:6" x14ac:dyDescent="0.25">
      <c r="A2" s="94" t="s">
        <v>326</v>
      </c>
      <c r="B2" s="90"/>
      <c r="C2" s="90"/>
      <c r="D2" s="90"/>
      <c r="E2" s="90"/>
      <c r="F2" s="90"/>
    </row>
    <row r="3" spans="1:6" x14ac:dyDescent="0.25">
      <c r="A3" s="9" t="s">
        <v>104</v>
      </c>
      <c r="B3" s="9" t="s">
        <v>105</v>
      </c>
      <c r="C3" s="9" t="s">
        <v>106</v>
      </c>
      <c r="D3" s="9" t="s">
        <v>107</v>
      </c>
      <c r="E3" s="9" t="s">
        <v>108</v>
      </c>
      <c r="F3" s="9" t="s">
        <v>60</v>
      </c>
    </row>
    <row r="4" spans="1:6" ht="25.5" x14ac:dyDescent="0.25">
      <c r="A4" s="25">
        <v>1</v>
      </c>
      <c r="B4" s="14" t="s">
        <v>327</v>
      </c>
      <c r="C4" s="15" t="s">
        <v>116</v>
      </c>
      <c r="D4" s="15">
        <v>3</v>
      </c>
      <c r="E4" s="14" t="s">
        <v>328</v>
      </c>
      <c r="F4" s="15" t="s">
        <v>112</v>
      </c>
    </row>
    <row r="5" spans="1:6" ht="25.5" x14ac:dyDescent="0.25">
      <c r="A5" s="25">
        <v>2</v>
      </c>
      <c r="B5" s="11" t="s">
        <v>329</v>
      </c>
      <c r="C5" s="12" t="s">
        <v>121</v>
      </c>
      <c r="D5" s="12">
        <v>4</v>
      </c>
      <c r="E5" s="11" t="s">
        <v>330</v>
      </c>
      <c r="F5" s="12" t="s">
        <v>112</v>
      </c>
    </row>
    <row r="6" spans="1:6" ht="25.5" x14ac:dyDescent="0.25">
      <c r="A6" s="25">
        <v>3</v>
      </c>
      <c r="B6" s="14" t="s">
        <v>331</v>
      </c>
      <c r="C6" s="15" t="s">
        <v>121</v>
      </c>
      <c r="D6" s="15">
        <v>7</v>
      </c>
      <c r="E6" s="14" t="s">
        <v>332</v>
      </c>
      <c r="F6" s="15" t="s">
        <v>112</v>
      </c>
    </row>
    <row r="7" spans="1:6" ht="25.5" x14ac:dyDescent="0.25">
      <c r="A7" s="25">
        <v>4</v>
      </c>
      <c r="B7" s="11" t="s">
        <v>333</v>
      </c>
      <c r="C7" s="12" t="s">
        <v>110</v>
      </c>
      <c r="D7" s="12">
        <v>6</v>
      </c>
      <c r="E7" s="11" t="s">
        <v>334</v>
      </c>
      <c r="F7" s="12" t="s">
        <v>112</v>
      </c>
    </row>
    <row r="8" spans="1:6" ht="25.5" x14ac:dyDescent="0.25">
      <c r="A8" s="25">
        <v>5</v>
      </c>
      <c r="B8" s="14" t="s">
        <v>335</v>
      </c>
      <c r="C8" s="15" t="s">
        <v>110</v>
      </c>
      <c r="D8" s="15">
        <v>5</v>
      </c>
      <c r="E8" s="14" t="s">
        <v>336</v>
      </c>
      <c r="F8" s="15" t="s">
        <v>112</v>
      </c>
    </row>
    <row r="9" spans="1:6" ht="25.5" x14ac:dyDescent="0.25">
      <c r="A9" s="25">
        <v>6</v>
      </c>
      <c r="B9" s="11" t="s">
        <v>337</v>
      </c>
      <c r="C9" s="12" t="s">
        <v>116</v>
      </c>
      <c r="D9" s="12">
        <v>6</v>
      </c>
      <c r="E9" s="11" t="s">
        <v>338</v>
      </c>
      <c r="F9" s="12" t="s">
        <v>112</v>
      </c>
    </row>
    <row r="10" spans="1:6" ht="25.5" x14ac:dyDescent="0.25">
      <c r="A10" s="25">
        <v>7</v>
      </c>
      <c r="B10" s="14" t="s">
        <v>339</v>
      </c>
      <c r="C10" s="15" t="s">
        <v>116</v>
      </c>
      <c r="D10" s="15">
        <v>5</v>
      </c>
      <c r="E10" s="14" t="s">
        <v>340</v>
      </c>
      <c r="F10" s="15" t="s">
        <v>112</v>
      </c>
    </row>
    <row r="11" spans="1:6" ht="25.5" x14ac:dyDescent="0.25">
      <c r="A11" s="25">
        <v>8</v>
      </c>
      <c r="B11" s="11" t="s">
        <v>341</v>
      </c>
      <c r="C11" s="12" t="s">
        <v>116</v>
      </c>
      <c r="D11" s="12">
        <v>5</v>
      </c>
      <c r="E11" s="11" t="s">
        <v>342</v>
      </c>
      <c r="F11" s="12" t="s">
        <v>112</v>
      </c>
    </row>
    <row r="12" spans="1:6" ht="25.5" x14ac:dyDescent="0.25">
      <c r="A12" s="25">
        <v>9</v>
      </c>
      <c r="B12" s="14" t="s">
        <v>343</v>
      </c>
      <c r="C12" s="15" t="s">
        <v>110</v>
      </c>
      <c r="D12" s="15">
        <v>5</v>
      </c>
      <c r="E12" s="14" t="s">
        <v>344</v>
      </c>
      <c r="F12" s="15" t="s">
        <v>112</v>
      </c>
    </row>
    <row r="13" spans="1:6" ht="25.5" x14ac:dyDescent="0.25">
      <c r="A13" s="25">
        <v>10</v>
      </c>
      <c r="B13" s="11" t="s">
        <v>345</v>
      </c>
      <c r="C13" s="12" t="s">
        <v>110</v>
      </c>
      <c r="D13" s="12">
        <v>5</v>
      </c>
      <c r="E13" s="11" t="s">
        <v>346</v>
      </c>
      <c r="F13" s="12" t="s">
        <v>112</v>
      </c>
    </row>
    <row r="14" spans="1:6" ht="25.5" x14ac:dyDescent="0.25">
      <c r="A14" s="25">
        <v>11</v>
      </c>
      <c r="B14" s="14" t="s">
        <v>347</v>
      </c>
      <c r="C14" s="15" t="s">
        <v>121</v>
      </c>
      <c r="D14" s="15">
        <v>4</v>
      </c>
      <c r="E14" s="14" t="s">
        <v>348</v>
      </c>
      <c r="F14" s="15" t="s">
        <v>112</v>
      </c>
    </row>
    <row r="15" spans="1:6" ht="25.5" x14ac:dyDescent="0.25">
      <c r="A15" s="25">
        <v>12</v>
      </c>
      <c r="B15" s="11" t="s">
        <v>349</v>
      </c>
      <c r="C15" s="12" t="s">
        <v>121</v>
      </c>
      <c r="D15" s="12">
        <v>4</v>
      </c>
      <c r="E15" s="11" t="s">
        <v>350</v>
      </c>
      <c r="F15" s="12" t="s">
        <v>112</v>
      </c>
    </row>
    <row r="16" spans="1:6" ht="25.5" x14ac:dyDescent="0.25">
      <c r="A16" s="25">
        <v>13</v>
      </c>
      <c r="B16" s="14" t="s">
        <v>351</v>
      </c>
      <c r="C16" s="15" t="s">
        <v>132</v>
      </c>
      <c r="D16" s="15">
        <v>3</v>
      </c>
      <c r="E16" s="14" t="s">
        <v>352</v>
      </c>
      <c r="F16" s="15" t="s">
        <v>112</v>
      </c>
    </row>
    <row r="17" spans="1:6" ht="25.5" x14ac:dyDescent="0.25">
      <c r="A17" s="95" t="s">
        <v>138</v>
      </c>
      <c r="B17" s="90"/>
      <c r="C17" s="27" t="s">
        <v>139</v>
      </c>
      <c r="D17" s="26">
        <v>9.6</v>
      </c>
      <c r="E17" s="28" t="s">
        <v>140</v>
      </c>
      <c r="F17" s="27" t="s">
        <v>141</v>
      </c>
    </row>
    <row r="18" spans="1:6" x14ac:dyDescent="0.25">
      <c r="A18" s="93" t="s">
        <v>142</v>
      </c>
      <c r="B18" s="90"/>
      <c r="C18" s="18" t="s">
        <v>143</v>
      </c>
      <c r="D18" s="19">
        <f>SUM(D5:D16)+9.6</f>
        <v>68.599999999999994</v>
      </c>
      <c r="E18" s="29" t="s">
        <v>144</v>
      </c>
      <c r="F18" s="30"/>
    </row>
    <row r="20" spans="1:6" x14ac:dyDescent="0.25">
      <c r="A20" s="96" t="s">
        <v>145</v>
      </c>
      <c r="B20" s="90"/>
      <c r="C20" s="90"/>
      <c r="D20" s="90"/>
      <c r="E20" s="90"/>
      <c r="F20" s="90"/>
    </row>
    <row r="22" spans="1:6" x14ac:dyDescent="0.25">
      <c r="A22" s="98" t="s">
        <v>146</v>
      </c>
      <c r="B22" s="90"/>
      <c r="C22" s="90"/>
      <c r="D22" s="90"/>
      <c r="E22" s="90"/>
      <c r="F22" s="90"/>
    </row>
    <row r="23" spans="1:6" x14ac:dyDescent="0.25">
      <c r="A23" s="31" t="s">
        <v>147</v>
      </c>
      <c r="B23" s="31" t="s">
        <v>148</v>
      </c>
      <c r="C23" s="31" t="s">
        <v>149</v>
      </c>
      <c r="D23" s="31" t="s">
        <v>150</v>
      </c>
    </row>
    <row r="24" spans="1:6" ht="102" x14ac:dyDescent="0.25">
      <c r="A24" s="32" t="s">
        <v>353</v>
      </c>
      <c r="B24" s="34" t="s">
        <v>153</v>
      </c>
      <c r="C24" s="35" t="s">
        <v>156</v>
      </c>
      <c r="D24" s="32" t="s">
        <v>354</v>
      </c>
    </row>
    <row r="25" spans="1:6" ht="102" x14ac:dyDescent="0.25">
      <c r="A25" s="32" t="s">
        <v>355</v>
      </c>
      <c r="B25" s="33" t="s">
        <v>152</v>
      </c>
      <c r="C25" s="34" t="s">
        <v>153</v>
      </c>
      <c r="D25" s="32" t="s">
        <v>356</v>
      </c>
    </row>
    <row r="26" spans="1:6" ht="178.5" x14ac:dyDescent="0.25">
      <c r="A26" s="32" t="s">
        <v>357</v>
      </c>
      <c r="B26" s="34" t="s">
        <v>153</v>
      </c>
      <c r="C26" s="33" t="s">
        <v>152</v>
      </c>
      <c r="D26" s="32" t="s">
        <v>358</v>
      </c>
    </row>
  </sheetData>
  <mergeCells count="6">
    <mergeCell ref="A2:F2"/>
    <mergeCell ref="A1:F1"/>
    <mergeCell ref="A22:F22"/>
    <mergeCell ref="A17:B17"/>
    <mergeCell ref="A18:B18"/>
    <mergeCell ref="A20:F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38" customWidth="1"/>
    <col min="3" max="3" width="14" customWidth="1"/>
    <col min="4" max="4" width="10" customWidth="1"/>
    <col min="5" max="5" width="42" customWidth="1"/>
    <col min="6" max="6" width="16" customWidth="1"/>
  </cols>
  <sheetData>
    <row r="1" spans="1:6" ht="18.75" x14ac:dyDescent="0.25">
      <c r="A1" s="97" t="s">
        <v>359</v>
      </c>
      <c r="B1" s="90"/>
      <c r="C1" s="90"/>
      <c r="D1" s="90"/>
      <c r="E1" s="90"/>
      <c r="F1" s="90"/>
    </row>
    <row r="2" spans="1:6" x14ac:dyDescent="0.25">
      <c r="A2" s="94" t="s">
        <v>360</v>
      </c>
      <c r="B2" s="90"/>
      <c r="C2" s="90"/>
      <c r="D2" s="90"/>
      <c r="E2" s="90"/>
      <c r="F2" s="90"/>
    </row>
    <row r="3" spans="1:6" x14ac:dyDescent="0.25">
      <c r="A3" s="9" t="s">
        <v>104</v>
      </c>
      <c r="B3" s="9" t="s">
        <v>105</v>
      </c>
      <c r="C3" s="9" t="s">
        <v>106</v>
      </c>
      <c r="D3" s="9" t="s">
        <v>107</v>
      </c>
      <c r="E3" s="9" t="s">
        <v>108</v>
      </c>
      <c r="F3" s="9" t="s">
        <v>60</v>
      </c>
    </row>
    <row r="4" spans="1:6" ht="25.5" x14ac:dyDescent="0.25">
      <c r="A4" s="25">
        <v>1</v>
      </c>
      <c r="B4" s="14" t="s">
        <v>361</v>
      </c>
      <c r="C4" s="15" t="s">
        <v>132</v>
      </c>
      <c r="D4" s="15">
        <v>12</v>
      </c>
      <c r="E4" s="14" t="s">
        <v>362</v>
      </c>
      <c r="F4" s="15" t="s">
        <v>112</v>
      </c>
    </row>
    <row r="5" spans="1:6" ht="25.5" x14ac:dyDescent="0.25">
      <c r="A5" s="25">
        <v>2</v>
      </c>
      <c r="B5" s="11" t="s">
        <v>363</v>
      </c>
      <c r="C5" s="12" t="s">
        <v>116</v>
      </c>
      <c r="D5" s="12">
        <v>8</v>
      </c>
      <c r="E5" s="11" t="s">
        <v>364</v>
      </c>
      <c r="F5" s="12" t="s">
        <v>112</v>
      </c>
    </row>
    <row r="6" spans="1:6" ht="25.5" x14ac:dyDescent="0.25">
      <c r="A6" s="25">
        <v>3</v>
      </c>
      <c r="B6" s="14" t="s">
        <v>365</v>
      </c>
      <c r="C6" s="15" t="s">
        <v>110</v>
      </c>
      <c r="D6" s="15">
        <v>6</v>
      </c>
      <c r="E6" s="14" t="s">
        <v>366</v>
      </c>
      <c r="F6" s="15" t="s">
        <v>112</v>
      </c>
    </row>
    <row r="7" spans="1:6" ht="25.5" x14ac:dyDescent="0.25">
      <c r="A7" s="25">
        <v>4</v>
      </c>
      <c r="B7" s="11" t="s">
        <v>367</v>
      </c>
      <c r="C7" s="12" t="s">
        <v>132</v>
      </c>
      <c r="D7" s="12">
        <v>10</v>
      </c>
      <c r="E7" s="11" t="s">
        <v>368</v>
      </c>
      <c r="F7" s="12" t="s">
        <v>112</v>
      </c>
    </row>
    <row r="8" spans="1:6" ht="25.5" x14ac:dyDescent="0.25">
      <c r="A8" s="25">
        <v>5</v>
      </c>
      <c r="B8" s="14" t="s">
        <v>369</v>
      </c>
      <c r="C8" s="15" t="s">
        <v>121</v>
      </c>
      <c r="D8" s="15">
        <v>4</v>
      </c>
      <c r="E8" s="14" t="s">
        <v>370</v>
      </c>
      <c r="F8" s="15" t="s">
        <v>112</v>
      </c>
    </row>
    <row r="9" spans="1:6" ht="25.5" x14ac:dyDescent="0.25">
      <c r="A9" s="25">
        <v>6</v>
      </c>
      <c r="B9" s="11" t="s">
        <v>371</v>
      </c>
      <c r="C9" s="12" t="s">
        <v>110</v>
      </c>
      <c r="D9" s="12">
        <v>4</v>
      </c>
      <c r="E9" s="11" t="s">
        <v>372</v>
      </c>
      <c r="F9" s="12" t="s">
        <v>112</v>
      </c>
    </row>
    <row r="10" spans="1:6" ht="25.5" x14ac:dyDescent="0.25">
      <c r="A10" s="25">
        <v>7</v>
      </c>
      <c r="B10" s="14" t="s">
        <v>373</v>
      </c>
      <c r="C10" s="15" t="s">
        <v>121</v>
      </c>
      <c r="D10" s="15">
        <v>5</v>
      </c>
      <c r="E10" s="14" t="s">
        <v>374</v>
      </c>
      <c r="F10" s="15" t="s">
        <v>112</v>
      </c>
    </row>
    <row r="11" spans="1:6" ht="25.5" x14ac:dyDescent="0.25">
      <c r="A11" s="25">
        <v>8</v>
      </c>
      <c r="B11" s="11" t="s">
        <v>375</v>
      </c>
      <c r="C11" s="12" t="s">
        <v>110</v>
      </c>
      <c r="D11" s="12">
        <v>3</v>
      </c>
      <c r="E11" s="11" t="s">
        <v>376</v>
      </c>
      <c r="F11" s="12" t="s">
        <v>112</v>
      </c>
    </row>
    <row r="12" spans="1:6" ht="25.5" x14ac:dyDescent="0.25">
      <c r="A12" s="25">
        <v>9</v>
      </c>
      <c r="B12" s="14" t="s">
        <v>377</v>
      </c>
      <c r="C12" s="15" t="s">
        <v>110</v>
      </c>
      <c r="D12" s="15">
        <v>2</v>
      </c>
      <c r="E12" s="14" t="s">
        <v>378</v>
      </c>
      <c r="F12" s="15" t="s">
        <v>112</v>
      </c>
    </row>
    <row r="13" spans="1:6" ht="25.5" x14ac:dyDescent="0.25">
      <c r="A13" s="25">
        <v>10</v>
      </c>
      <c r="B13" s="11" t="s">
        <v>379</v>
      </c>
      <c r="C13" s="12" t="s">
        <v>275</v>
      </c>
      <c r="D13" s="12">
        <v>4</v>
      </c>
      <c r="E13" s="11" t="s">
        <v>380</v>
      </c>
      <c r="F13" s="12" t="s">
        <v>112</v>
      </c>
    </row>
    <row r="14" spans="1:6" ht="25.5" x14ac:dyDescent="0.25">
      <c r="A14" s="25">
        <v>11</v>
      </c>
      <c r="B14" s="14" t="s">
        <v>381</v>
      </c>
      <c r="C14" s="15" t="s">
        <v>116</v>
      </c>
      <c r="D14" s="15">
        <v>6</v>
      </c>
      <c r="E14" s="14" t="s">
        <v>382</v>
      </c>
      <c r="F14" s="15" t="s">
        <v>112</v>
      </c>
    </row>
    <row r="15" spans="1:6" ht="25.5" x14ac:dyDescent="0.25">
      <c r="A15" s="25">
        <v>12</v>
      </c>
      <c r="B15" s="11" t="s">
        <v>383</v>
      </c>
      <c r="C15" s="12" t="s">
        <v>132</v>
      </c>
      <c r="D15" s="12">
        <v>6</v>
      </c>
      <c r="E15" s="11" t="s">
        <v>384</v>
      </c>
      <c r="F15" s="12" t="s">
        <v>112</v>
      </c>
    </row>
    <row r="16" spans="1:6" ht="25.5" x14ac:dyDescent="0.25">
      <c r="A16" s="25">
        <v>13</v>
      </c>
      <c r="B16" s="14" t="s">
        <v>385</v>
      </c>
      <c r="C16" s="15" t="s">
        <v>132</v>
      </c>
      <c r="D16" s="15">
        <v>3</v>
      </c>
      <c r="E16" s="14" t="s">
        <v>386</v>
      </c>
      <c r="F16" s="15" t="s">
        <v>112</v>
      </c>
    </row>
    <row r="17" spans="1:6" ht="25.5" x14ac:dyDescent="0.25">
      <c r="A17" s="95" t="s">
        <v>138</v>
      </c>
      <c r="B17" s="90"/>
      <c r="C17" s="27" t="s">
        <v>139</v>
      </c>
      <c r="D17" s="26">
        <v>9.6</v>
      </c>
      <c r="E17" s="28" t="s">
        <v>140</v>
      </c>
      <c r="F17" s="27" t="s">
        <v>141</v>
      </c>
    </row>
    <row r="18" spans="1:6" x14ac:dyDescent="0.25">
      <c r="A18" s="93" t="s">
        <v>142</v>
      </c>
      <c r="B18" s="90"/>
      <c r="C18" s="18" t="s">
        <v>143</v>
      </c>
      <c r="D18" s="19">
        <f>SUM(D5:D16)+9.6</f>
        <v>70.599999999999994</v>
      </c>
      <c r="E18" s="29" t="s">
        <v>144</v>
      </c>
      <c r="F18" s="30"/>
    </row>
    <row r="20" spans="1:6" x14ac:dyDescent="0.25">
      <c r="A20" s="96" t="s">
        <v>145</v>
      </c>
      <c r="B20" s="90"/>
      <c r="C20" s="90"/>
      <c r="D20" s="90"/>
      <c r="E20" s="90"/>
      <c r="F20" s="90"/>
    </row>
    <row r="22" spans="1:6" x14ac:dyDescent="0.25">
      <c r="A22" s="98" t="s">
        <v>146</v>
      </c>
      <c r="B22" s="90"/>
      <c r="C22" s="90"/>
      <c r="D22" s="90"/>
      <c r="E22" s="90"/>
      <c r="F22" s="90"/>
    </row>
    <row r="23" spans="1:6" x14ac:dyDescent="0.25">
      <c r="A23" s="31" t="s">
        <v>147</v>
      </c>
      <c r="B23" s="31" t="s">
        <v>148</v>
      </c>
      <c r="C23" s="31" t="s">
        <v>149</v>
      </c>
      <c r="D23" s="31" t="s">
        <v>150</v>
      </c>
    </row>
    <row r="24" spans="1:6" ht="140.25" x14ac:dyDescent="0.25">
      <c r="A24" s="32" t="s">
        <v>387</v>
      </c>
      <c r="B24" s="34" t="s">
        <v>153</v>
      </c>
      <c r="C24" s="34" t="s">
        <v>153</v>
      </c>
      <c r="D24" s="32" t="s">
        <v>388</v>
      </c>
    </row>
    <row r="25" spans="1:6" ht="89.25" x14ac:dyDescent="0.25">
      <c r="A25" s="32" t="s">
        <v>389</v>
      </c>
      <c r="B25" s="33" t="s">
        <v>152</v>
      </c>
      <c r="C25" s="33" t="s">
        <v>152</v>
      </c>
      <c r="D25" s="32" t="s">
        <v>390</v>
      </c>
    </row>
    <row r="26" spans="1:6" ht="127.5" x14ac:dyDescent="0.25">
      <c r="A26" s="32" t="s">
        <v>391</v>
      </c>
      <c r="B26" s="34" t="s">
        <v>153</v>
      </c>
      <c r="C26" s="34" t="s">
        <v>153</v>
      </c>
      <c r="D26" s="32" t="s">
        <v>392</v>
      </c>
    </row>
  </sheetData>
  <mergeCells count="6">
    <mergeCell ref="A2:F2"/>
    <mergeCell ref="A1:F1"/>
    <mergeCell ref="A22:F22"/>
    <mergeCell ref="A17:B17"/>
    <mergeCell ref="A18:B18"/>
    <mergeCell ref="A20:F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2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6" width="14" customWidth="1"/>
    <col min="7" max="7" width="16" customWidth="1"/>
    <col min="8" max="8" width="14" customWidth="1"/>
    <col min="9" max="9" width="18" customWidth="1"/>
    <col min="10" max="10" width="32" customWidth="1"/>
    <col min="11" max="11" width="28" customWidth="1"/>
  </cols>
  <sheetData>
    <row r="1" spans="1:11" ht="18.75" x14ac:dyDescent="0.25">
      <c r="A1" s="92" t="s">
        <v>393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x14ac:dyDescent="0.25">
      <c r="A2" s="94" t="s">
        <v>394</v>
      </c>
      <c r="B2" s="90"/>
      <c r="C2" s="90"/>
      <c r="D2" s="90"/>
      <c r="E2" s="90"/>
      <c r="F2" s="90"/>
      <c r="G2" s="90"/>
      <c r="H2" s="90"/>
      <c r="I2" s="90"/>
      <c r="J2" s="90"/>
      <c r="K2" s="90"/>
    </row>
    <row r="3" spans="1:11" x14ac:dyDescent="0.25">
      <c r="A3" s="9" t="s">
        <v>52</v>
      </c>
      <c r="B3" s="9" t="s">
        <v>53</v>
      </c>
      <c r="C3" s="9" t="s">
        <v>395</v>
      </c>
      <c r="D3" s="9" t="s">
        <v>396</v>
      </c>
      <c r="E3" s="9" t="s">
        <v>397</v>
      </c>
      <c r="F3" s="9" t="s">
        <v>398</v>
      </c>
      <c r="G3" s="9" t="s">
        <v>399</v>
      </c>
      <c r="H3" s="9" t="s">
        <v>400</v>
      </c>
      <c r="I3" s="9" t="s">
        <v>401</v>
      </c>
      <c r="J3" s="9" t="s">
        <v>402</v>
      </c>
      <c r="K3" s="9" t="s">
        <v>108</v>
      </c>
    </row>
    <row r="4" spans="1:11" x14ac:dyDescent="0.25">
      <c r="A4" s="10">
        <v>1</v>
      </c>
      <c r="B4" s="12" t="s">
        <v>61</v>
      </c>
      <c r="C4" s="12">
        <v>96</v>
      </c>
      <c r="D4" s="12">
        <v>32</v>
      </c>
      <c r="E4" s="12">
        <v>32</v>
      </c>
      <c r="F4" s="12">
        <v>32</v>
      </c>
      <c r="G4" s="12">
        <f t="shared" ref="G4:G11" si="0">SUM(D4:F4)</f>
        <v>96</v>
      </c>
      <c r="H4" s="36">
        <f t="shared" ref="H4:H12" si="1">G4/C4</f>
        <v>1</v>
      </c>
      <c r="I4" s="35" t="s">
        <v>156</v>
      </c>
      <c r="J4" s="11" t="s">
        <v>403</v>
      </c>
      <c r="K4" s="37" t="s">
        <v>404</v>
      </c>
    </row>
    <row r="5" spans="1:11" x14ac:dyDescent="0.25">
      <c r="A5" s="10">
        <v>2</v>
      </c>
      <c r="B5" s="15" t="s">
        <v>66</v>
      </c>
      <c r="C5" s="15">
        <v>96</v>
      </c>
      <c r="D5" s="15">
        <v>32</v>
      </c>
      <c r="E5" s="15">
        <v>32</v>
      </c>
      <c r="F5" s="15">
        <v>32</v>
      </c>
      <c r="G5" s="15">
        <f t="shared" si="0"/>
        <v>96</v>
      </c>
      <c r="H5" s="38">
        <f t="shared" si="1"/>
        <v>1</v>
      </c>
      <c r="I5" s="35" t="s">
        <v>156</v>
      </c>
      <c r="J5" s="14" t="s">
        <v>405</v>
      </c>
      <c r="K5" s="39" t="s">
        <v>406</v>
      </c>
    </row>
    <row r="6" spans="1:11" x14ac:dyDescent="0.25">
      <c r="A6" s="10">
        <v>3</v>
      </c>
      <c r="B6" s="12" t="s">
        <v>70</v>
      </c>
      <c r="C6" s="12">
        <v>96</v>
      </c>
      <c r="D6" s="12">
        <v>32</v>
      </c>
      <c r="E6" s="12">
        <v>32</v>
      </c>
      <c r="F6" s="12">
        <v>32</v>
      </c>
      <c r="G6" s="12">
        <f t="shared" si="0"/>
        <v>96</v>
      </c>
      <c r="H6" s="36">
        <f t="shared" si="1"/>
        <v>1</v>
      </c>
      <c r="I6" s="33" t="s">
        <v>152</v>
      </c>
      <c r="J6" s="11" t="s">
        <v>407</v>
      </c>
      <c r="K6" s="37" t="s">
        <v>408</v>
      </c>
    </row>
    <row r="7" spans="1:11" x14ac:dyDescent="0.25">
      <c r="A7" s="10">
        <v>4</v>
      </c>
      <c r="B7" s="15" t="s">
        <v>74</v>
      </c>
      <c r="C7" s="15">
        <v>96</v>
      </c>
      <c r="D7" s="15">
        <v>32</v>
      </c>
      <c r="E7" s="15">
        <v>32</v>
      </c>
      <c r="F7" s="15">
        <v>32</v>
      </c>
      <c r="G7" s="15">
        <f t="shared" si="0"/>
        <v>96</v>
      </c>
      <c r="H7" s="38">
        <f t="shared" si="1"/>
        <v>1</v>
      </c>
      <c r="I7" s="33" t="s">
        <v>152</v>
      </c>
      <c r="J7" s="14" t="s">
        <v>409</v>
      </c>
      <c r="K7" s="39" t="s">
        <v>410</v>
      </c>
    </row>
    <row r="8" spans="1:11" x14ac:dyDescent="0.25">
      <c r="A8" s="10">
        <v>5</v>
      </c>
      <c r="B8" s="12" t="s">
        <v>78</v>
      </c>
      <c r="C8" s="12">
        <v>96</v>
      </c>
      <c r="D8" s="12">
        <v>32</v>
      </c>
      <c r="E8" s="12">
        <v>32</v>
      </c>
      <c r="F8" s="12">
        <v>32</v>
      </c>
      <c r="G8" s="12">
        <f t="shared" si="0"/>
        <v>96</v>
      </c>
      <c r="H8" s="36">
        <f t="shared" si="1"/>
        <v>1</v>
      </c>
      <c r="I8" s="34" t="s">
        <v>153</v>
      </c>
      <c r="J8" s="11" t="s">
        <v>411</v>
      </c>
      <c r="K8" s="37" t="s">
        <v>412</v>
      </c>
    </row>
    <row r="9" spans="1:11" x14ac:dyDescent="0.25">
      <c r="A9" s="10">
        <v>6</v>
      </c>
      <c r="B9" s="15" t="s">
        <v>82</v>
      </c>
      <c r="C9" s="15">
        <v>96</v>
      </c>
      <c r="D9" s="15">
        <v>32</v>
      </c>
      <c r="E9" s="15">
        <v>32</v>
      </c>
      <c r="F9" s="15">
        <v>32</v>
      </c>
      <c r="G9" s="15">
        <f t="shared" si="0"/>
        <v>96</v>
      </c>
      <c r="H9" s="38">
        <f t="shared" si="1"/>
        <v>1</v>
      </c>
      <c r="I9" s="34" t="s">
        <v>153</v>
      </c>
      <c r="J9" s="14" t="s">
        <v>413</v>
      </c>
      <c r="K9" s="39" t="s">
        <v>414</v>
      </c>
    </row>
    <row r="10" spans="1:11" x14ac:dyDescent="0.25">
      <c r="A10" s="10">
        <v>7</v>
      </c>
      <c r="B10" s="12" t="s">
        <v>86</v>
      </c>
      <c r="C10" s="12">
        <v>96</v>
      </c>
      <c r="D10" s="12">
        <v>32</v>
      </c>
      <c r="E10" s="12">
        <v>32</v>
      </c>
      <c r="F10" s="12">
        <v>32</v>
      </c>
      <c r="G10" s="12">
        <f t="shared" si="0"/>
        <v>96</v>
      </c>
      <c r="H10" s="36">
        <f t="shared" si="1"/>
        <v>1</v>
      </c>
      <c r="I10" s="33" t="s">
        <v>152</v>
      </c>
      <c r="J10" s="11" t="s">
        <v>415</v>
      </c>
      <c r="K10" s="37" t="s">
        <v>416</v>
      </c>
    </row>
    <row r="11" spans="1:11" x14ac:dyDescent="0.25">
      <c r="A11" s="10">
        <v>8</v>
      </c>
      <c r="B11" s="15" t="s">
        <v>90</v>
      </c>
      <c r="C11" s="15">
        <v>96</v>
      </c>
      <c r="D11" s="15">
        <v>32</v>
      </c>
      <c r="E11" s="15">
        <v>32</v>
      </c>
      <c r="F11" s="15">
        <v>32</v>
      </c>
      <c r="G11" s="15">
        <f t="shared" si="0"/>
        <v>96</v>
      </c>
      <c r="H11" s="38">
        <f t="shared" si="1"/>
        <v>1</v>
      </c>
      <c r="I11" s="35" t="s">
        <v>156</v>
      </c>
      <c r="J11" s="14" t="s">
        <v>417</v>
      </c>
      <c r="K11" s="39" t="s">
        <v>418</v>
      </c>
    </row>
    <row r="12" spans="1:11" x14ac:dyDescent="0.25">
      <c r="A12" s="18" t="s">
        <v>94</v>
      </c>
      <c r="B12" s="29" t="s">
        <v>97</v>
      </c>
      <c r="C12" s="19">
        <f>SUM(C4:C11)</f>
        <v>768</v>
      </c>
      <c r="D12" s="19">
        <f>SUM(D4:D11)</f>
        <v>256</v>
      </c>
      <c r="E12" s="19">
        <f>SUM(E4:E11)</f>
        <v>256</v>
      </c>
      <c r="F12" s="19">
        <f>SUM(F4:F11)</f>
        <v>256</v>
      </c>
      <c r="G12" s="19">
        <f>SUM(G4:G11)</f>
        <v>768</v>
      </c>
      <c r="H12" s="40">
        <f t="shared" si="1"/>
        <v>1</v>
      </c>
      <c r="I12" s="29" t="s">
        <v>419</v>
      </c>
      <c r="J12" s="30"/>
      <c r="K12" s="30"/>
    </row>
  </sheetData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7"/>
  <sheetViews>
    <sheetView showGridLines="0" workbookViewId="0"/>
  </sheetViews>
  <sheetFormatPr defaultRowHeight="15" x14ac:dyDescent="0.25"/>
  <cols>
    <col min="1" max="1" width="8" customWidth="1"/>
    <col min="2" max="2" width="10" customWidth="1"/>
    <col min="3" max="3" width="14" customWidth="1"/>
    <col min="4" max="4" width="40" customWidth="1"/>
    <col min="5" max="6" width="10" customWidth="1"/>
    <col min="7" max="7" width="28" customWidth="1"/>
  </cols>
  <sheetData>
    <row r="1" spans="1:7" ht="18.75" x14ac:dyDescent="0.25">
      <c r="A1" s="99" t="s">
        <v>420</v>
      </c>
      <c r="B1" s="90"/>
      <c r="C1" s="90"/>
      <c r="D1" s="90"/>
      <c r="E1" s="90"/>
      <c r="F1" s="90"/>
      <c r="G1" s="90"/>
    </row>
    <row r="2" spans="1:7" x14ac:dyDescent="0.25">
      <c r="A2" s="94" t="s">
        <v>421</v>
      </c>
      <c r="B2" s="90"/>
      <c r="C2" s="90"/>
      <c r="D2" s="90"/>
      <c r="E2" s="90"/>
      <c r="F2" s="90"/>
      <c r="G2" s="90"/>
    </row>
    <row r="3" spans="1:7" x14ac:dyDescent="0.25">
      <c r="A3" s="41" t="s">
        <v>422</v>
      </c>
      <c r="B3" s="41" t="s">
        <v>423</v>
      </c>
      <c r="C3" s="41" t="s">
        <v>424</v>
      </c>
      <c r="D3" s="41" t="s">
        <v>425</v>
      </c>
      <c r="E3" s="41" t="s">
        <v>426</v>
      </c>
      <c r="F3" s="41" t="s">
        <v>52</v>
      </c>
      <c r="G3" s="41" t="s">
        <v>427</v>
      </c>
    </row>
    <row r="4" spans="1:7" x14ac:dyDescent="0.25">
      <c r="A4" s="12" t="s">
        <v>428</v>
      </c>
      <c r="B4" s="11" t="s">
        <v>429</v>
      </c>
      <c r="C4" s="11" t="s">
        <v>430</v>
      </c>
      <c r="D4" s="11" t="s">
        <v>431</v>
      </c>
      <c r="E4" s="12">
        <v>3</v>
      </c>
      <c r="F4" s="12" t="s">
        <v>432</v>
      </c>
      <c r="G4" s="11" t="s">
        <v>433</v>
      </c>
    </row>
    <row r="5" spans="1:7" x14ac:dyDescent="0.25">
      <c r="A5" s="15" t="s">
        <v>428</v>
      </c>
      <c r="B5" s="14" t="s">
        <v>434</v>
      </c>
      <c r="C5" s="14" t="s">
        <v>435</v>
      </c>
      <c r="D5" s="14" t="s">
        <v>436</v>
      </c>
      <c r="E5" s="15">
        <v>2</v>
      </c>
      <c r="F5" s="15" t="s">
        <v>432</v>
      </c>
      <c r="G5" s="14" t="s">
        <v>437</v>
      </c>
    </row>
    <row r="6" spans="1:7" x14ac:dyDescent="0.25">
      <c r="A6" s="12" t="s">
        <v>438</v>
      </c>
      <c r="B6" s="11" t="s">
        <v>429</v>
      </c>
      <c r="C6" s="11" t="s">
        <v>430</v>
      </c>
      <c r="D6" s="11" t="s">
        <v>439</v>
      </c>
      <c r="E6" s="12">
        <v>3</v>
      </c>
      <c r="F6" s="12" t="s">
        <v>432</v>
      </c>
      <c r="G6" s="11" t="s">
        <v>440</v>
      </c>
    </row>
    <row r="7" spans="1:7" x14ac:dyDescent="0.25">
      <c r="A7" s="15" t="s">
        <v>438</v>
      </c>
      <c r="B7" s="14" t="s">
        <v>434</v>
      </c>
      <c r="C7" s="14" t="s">
        <v>435</v>
      </c>
      <c r="D7" s="14" t="s">
        <v>441</v>
      </c>
      <c r="E7" s="15">
        <v>2</v>
      </c>
      <c r="F7" s="15" t="s">
        <v>442</v>
      </c>
      <c r="G7" s="14" t="s">
        <v>443</v>
      </c>
    </row>
    <row r="8" spans="1:7" x14ac:dyDescent="0.25">
      <c r="A8" s="12" t="s">
        <v>444</v>
      </c>
      <c r="B8" s="11" t="s">
        <v>429</v>
      </c>
      <c r="C8" s="11" t="s">
        <v>430</v>
      </c>
      <c r="D8" s="11" t="s">
        <v>445</v>
      </c>
      <c r="E8" s="12">
        <v>3</v>
      </c>
      <c r="F8" s="12" t="s">
        <v>446</v>
      </c>
      <c r="G8" s="11" t="s">
        <v>447</v>
      </c>
    </row>
    <row r="9" spans="1:7" x14ac:dyDescent="0.25">
      <c r="A9" s="15" t="s">
        <v>444</v>
      </c>
      <c r="B9" s="14" t="s">
        <v>434</v>
      </c>
      <c r="C9" s="14" t="s">
        <v>435</v>
      </c>
      <c r="D9" s="14" t="s">
        <v>448</v>
      </c>
      <c r="E9" s="15">
        <v>2</v>
      </c>
      <c r="F9" s="15" t="s">
        <v>446</v>
      </c>
      <c r="G9" s="14" t="s">
        <v>449</v>
      </c>
    </row>
    <row r="10" spans="1:7" x14ac:dyDescent="0.25">
      <c r="A10" s="12" t="s">
        <v>450</v>
      </c>
      <c r="B10" s="11" t="s">
        <v>429</v>
      </c>
      <c r="C10" s="11" t="s">
        <v>430</v>
      </c>
      <c r="D10" s="11" t="s">
        <v>451</v>
      </c>
      <c r="E10" s="12">
        <v>3</v>
      </c>
      <c r="F10" s="12" t="s">
        <v>446</v>
      </c>
      <c r="G10" s="11" t="s">
        <v>452</v>
      </c>
    </row>
    <row r="11" spans="1:7" x14ac:dyDescent="0.25">
      <c r="A11" s="15" t="s">
        <v>450</v>
      </c>
      <c r="B11" s="14" t="s">
        <v>434</v>
      </c>
      <c r="C11" s="14" t="s">
        <v>435</v>
      </c>
      <c r="D11" s="14" t="s">
        <v>453</v>
      </c>
      <c r="E11" s="15">
        <v>2</v>
      </c>
      <c r="F11" s="15" t="s">
        <v>454</v>
      </c>
      <c r="G11" s="14" t="s">
        <v>455</v>
      </c>
    </row>
    <row r="12" spans="1:7" x14ac:dyDescent="0.25">
      <c r="A12" s="12" t="s">
        <v>456</v>
      </c>
      <c r="B12" s="11" t="s">
        <v>429</v>
      </c>
      <c r="C12" s="11" t="s">
        <v>430</v>
      </c>
      <c r="D12" s="11" t="s">
        <v>457</v>
      </c>
      <c r="E12" s="12">
        <v>3</v>
      </c>
      <c r="F12" s="12" t="s">
        <v>458</v>
      </c>
      <c r="G12" s="11" t="s">
        <v>459</v>
      </c>
    </row>
    <row r="13" spans="1:7" x14ac:dyDescent="0.25">
      <c r="A13" s="15" t="s">
        <v>456</v>
      </c>
      <c r="B13" s="14" t="s">
        <v>434</v>
      </c>
      <c r="C13" s="14" t="s">
        <v>435</v>
      </c>
      <c r="D13" s="14" t="s">
        <v>460</v>
      </c>
      <c r="E13" s="15">
        <v>2</v>
      </c>
      <c r="F13" s="15" t="s">
        <v>458</v>
      </c>
      <c r="G13" s="14" t="s">
        <v>461</v>
      </c>
    </row>
    <row r="14" spans="1:7" x14ac:dyDescent="0.25">
      <c r="A14" s="12" t="s">
        <v>462</v>
      </c>
      <c r="B14" s="11" t="s">
        <v>429</v>
      </c>
      <c r="C14" s="11" t="s">
        <v>430</v>
      </c>
      <c r="D14" s="11" t="s">
        <v>463</v>
      </c>
      <c r="E14" s="12">
        <v>3</v>
      </c>
      <c r="F14" s="12" t="s">
        <v>458</v>
      </c>
      <c r="G14" s="11" t="s">
        <v>464</v>
      </c>
    </row>
    <row r="15" spans="1:7" x14ac:dyDescent="0.25">
      <c r="A15" s="15" t="s">
        <v>462</v>
      </c>
      <c r="B15" s="14" t="s">
        <v>434</v>
      </c>
      <c r="C15" s="14" t="s">
        <v>435</v>
      </c>
      <c r="D15" s="14" t="s">
        <v>465</v>
      </c>
      <c r="E15" s="15">
        <v>2</v>
      </c>
      <c r="F15" s="15" t="s">
        <v>466</v>
      </c>
      <c r="G15" s="14" t="s">
        <v>467</v>
      </c>
    </row>
    <row r="16" spans="1:7" x14ac:dyDescent="0.25">
      <c r="A16" s="12" t="s">
        <v>468</v>
      </c>
      <c r="B16" s="11" t="s">
        <v>429</v>
      </c>
      <c r="C16" s="11" t="s">
        <v>430</v>
      </c>
      <c r="D16" s="11" t="s">
        <v>469</v>
      </c>
      <c r="E16" s="12">
        <v>3</v>
      </c>
      <c r="F16" s="12" t="s">
        <v>470</v>
      </c>
      <c r="G16" s="11" t="s">
        <v>471</v>
      </c>
    </row>
    <row r="17" spans="1:7" x14ac:dyDescent="0.25">
      <c r="A17" s="15" t="s">
        <v>468</v>
      </c>
      <c r="B17" s="14" t="s">
        <v>434</v>
      </c>
      <c r="C17" s="14" t="s">
        <v>435</v>
      </c>
      <c r="D17" s="14" t="s">
        <v>472</v>
      </c>
      <c r="E17" s="15">
        <v>2</v>
      </c>
      <c r="F17" s="15" t="s">
        <v>470</v>
      </c>
      <c r="G17" s="14" t="s">
        <v>473</v>
      </c>
    </row>
    <row r="18" spans="1:7" x14ac:dyDescent="0.25">
      <c r="A18" s="12" t="s">
        <v>474</v>
      </c>
      <c r="B18" s="11" t="s">
        <v>429</v>
      </c>
      <c r="C18" s="11" t="s">
        <v>430</v>
      </c>
      <c r="D18" s="11" t="s">
        <v>475</v>
      </c>
      <c r="E18" s="12">
        <v>3</v>
      </c>
      <c r="F18" s="12" t="s">
        <v>470</v>
      </c>
      <c r="G18" s="11" t="s">
        <v>476</v>
      </c>
    </row>
    <row r="19" spans="1:7" x14ac:dyDescent="0.25">
      <c r="A19" s="15" t="s">
        <v>474</v>
      </c>
      <c r="B19" s="14" t="s">
        <v>434</v>
      </c>
      <c r="C19" s="14" t="s">
        <v>435</v>
      </c>
      <c r="D19" s="14" t="s">
        <v>477</v>
      </c>
      <c r="E19" s="15">
        <v>2</v>
      </c>
      <c r="F19" s="15" t="s">
        <v>478</v>
      </c>
      <c r="G19" s="14" t="s">
        <v>479</v>
      </c>
    </row>
    <row r="20" spans="1:7" x14ac:dyDescent="0.25">
      <c r="A20" s="12" t="s">
        <v>480</v>
      </c>
      <c r="B20" s="11" t="s">
        <v>429</v>
      </c>
      <c r="C20" s="11" t="s">
        <v>430</v>
      </c>
      <c r="D20" s="11" t="s">
        <v>481</v>
      </c>
      <c r="E20" s="12">
        <v>3</v>
      </c>
      <c r="F20" s="12" t="s">
        <v>482</v>
      </c>
      <c r="G20" s="11" t="s">
        <v>483</v>
      </c>
    </row>
    <row r="21" spans="1:7" x14ac:dyDescent="0.25">
      <c r="A21" s="15" t="s">
        <v>480</v>
      </c>
      <c r="B21" s="14" t="s">
        <v>434</v>
      </c>
      <c r="C21" s="14" t="s">
        <v>435</v>
      </c>
      <c r="D21" s="14" t="s">
        <v>484</v>
      </c>
      <c r="E21" s="15">
        <v>2</v>
      </c>
      <c r="F21" s="15" t="s">
        <v>482</v>
      </c>
      <c r="G21" s="14" t="s">
        <v>485</v>
      </c>
    </row>
    <row r="22" spans="1:7" x14ac:dyDescent="0.25">
      <c r="A22" s="12" t="s">
        <v>486</v>
      </c>
      <c r="B22" s="11" t="s">
        <v>429</v>
      </c>
      <c r="C22" s="11" t="s">
        <v>430</v>
      </c>
      <c r="D22" s="11" t="s">
        <v>487</v>
      </c>
      <c r="E22" s="12">
        <v>3</v>
      </c>
      <c r="F22" s="12" t="s">
        <v>482</v>
      </c>
      <c r="G22" s="11" t="s">
        <v>488</v>
      </c>
    </row>
    <row r="23" spans="1:7" x14ac:dyDescent="0.25">
      <c r="A23" s="15" t="s">
        <v>486</v>
      </c>
      <c r="B23" s="14" t="s">
        <v>434</v>
      </c>
      <c r="C23" s="14" t="s">
        <v>435</v>
      </c>
      <c r="D23" s="14" t="s">
        <v>489</v>
      </c>
      <c r="E23" s="15">
        <v>2</v>
      </c>
      <c r="F23" s="15" t="s">
        <v>490</v>
      </c>
      <c r="G23" s="14" t="s">
        <v>491</v>
      </c>
    </row>
    <row r="24" spans="1:7" x14ac:dyDescent="0.25">
      <c r="A24" s="12" t="s">
        <v>492</v>
      </c>
      <c r="B24" s="11" t="s">
        <v>429</v>
      </c>
      <c r="C24" s="11" t="s">
        <v>430</v>
      </c>
      <c r="D24" s="11" t="s">
        <v>493</v>
      </c>
      <c r="E24" s="12">
        <v>3</v>
      </c>
      <c r="F24" s="12" t="s">
        <v>494</v>
      </c>
      <c r="G24" s="11" t="s">
        <v>495</v>
      </c>
    </row>
    <row r="25" spans="1:7" x14ac:dyDescent="0.25">
      <c r="A25" s="15" t="s">
        <v>492</v>
      </c>
      <c r="B25" s="14" t="s">
        <v>434</v>
      </c>
      <c r="C25" s="14" t="s">
        <v>435</v>
      </c>
      <c r="D25" s="14" t="s">
        <v>496</v>
      </c>
      <c r="E25" s="15">
        <v>2</v>
      </c>
      <c r="F25" s="15" t="s">
        <v>494</v>
      </c>
      <c r="G25" s="14" t="s">
        <v>497</v>
      </c>
    </row>
    <row r="26" spans="1:7" x14ac:dyDescent="0.25">
      <c r="A26" s="12" t="s">
        <v>498</v>
      </c>
      <c r="B26" s="11" t="s">
        <v>429</v>
      </c>
      <c r="C26" s="11" t="s">
        <v>430</v>
      </c>
      <c r="D26" s="11" t="s">
        <v>499</v>
      </c>
      <c r="E26" s="12">
        <v>3</v>
      </c>
      <c r="F26" s="12" t="s">
        <v>494</v>
      </c>
      <c r="G26" s="11" t="s">
        <v>500</v>
      </c>
    </row>
    <row r="27" spans="1:7" x14ac:dyDescent="0.25">
      <c r="A27" s="15" t="s">
        <v>498</v>
      </c>
      <c r="B27" s="14" t="s">
        <v>434</v>
      </c>
      <c r="C27" s="14" t="s">
        <v>435</v>
      </c>
      <c r="D27" s="14" t="s">
        <v>501</v>
      </c>
      <c r="E27" s="15">
        <v>2</v>
      </c>
      <c r="F27" s="15" t="s">
        <v>502</v>
      </c>
      <c r="G27" s="14" t="s">
        <v>503</v>
      </c>
    </row>
    <row r="28" spans="1:7" x14ac:dyDescent="0.25">
      <c r="A28" s="12" t="s">
        <v>504</v>
      </c>
      <c r="B28" s="11" t="s">
        <v>429</v>
      </c>
      <c r="C28" s="11" t="s">
        <v>430</v>
      </c>
      <c r="D28" s="11" t="s">
        <v>505</v>
      </c>
      <c r="E28" s="12">
        <v>3</v>
      </c>
      <c r="F28" s="12" t="s">
        <v>506</v>
      </c>
      <c r="G28" s="11" t="s">
        <v>507</v>
      </c>
    </row>
    <row r="29" spans="1:7" x14ac:dyDescent="0.25">
      <c r="A29" s="15" t="s">
        <v>504</v>
      </c>
      <c r="B29" s="14" t="s">
        <v>434</v>
      </c>
      <c r="C29" s="14" t="s">
        <v>435</v>
      </c>
      <c r="D29" s="14" t="s">
        <v>508</v>
      </c>
      <c r="E29" s="15">
        <v>2</v>
      </c>
      <c r="F29" s="15" t="s">
        <v>506</v>
      </c>
      <c r="G29" s="14" t="s">
        <v>509</v>
      </c>
    </row>
    <row r="30" spans="1:7" x14ac:dyDescent="0.25">
      <c r="A30" s="12" t="s">
        <v>510</v>
      </c>
      <c r="B30" s="11" t="s">
        <v>429</v>
      </c>
      <c r="C30" s="11" t="s">
        <v>430</v>
      </c>
      <c r="D30" s="11" t="s">
        <v>511</v>
      </c>
      <c r="E30" s="12">
        <v>3</v>
      </c>
      <c r="F30" s="12" t="s">
        <v>506</v>
      </c>
      <c r="G30" s="11" t="s">
        <v>512</v>
      </c>
    </row>
    <row r="31" spans="1:7" x14ac:dyDescent="0.25">
      <c r="A31" s="15" t="s">
        <v>510</v>
      </c>
      <c r="B31" s="14" t="s">
        <v>434</v>
      </c>
      <c r="C31" s="14" t="s">
        <v>435</v>
      </c>
      <c r="D31" s="14" t="s">
        <v>513</v>
      </c>
      <c r="E31" s="15">
        <v>2</v>
      </c>
      <c r="F31" s="15" t="s">
        <v>514</v>
      </c>
      <c r="G31" s="14" t="s">
        <v>515</v>
      </c>
    </row>
    <row r="32" spans="1:7" x14ac:dyDescent="0.25">
      <c r="A32" s="12" t="s">
        <v>516</v>
      </c>
      <c r="B32" s="11" t="s">
        <v>429</v>
      </c>
      <c r="C32" s="11" t="s">
        <v>430</v>
      </c>
      <c r="D32" s="11" t="s">
        <v>517</v>
      </c>
      <c r="E32" s="12">
        <v>3</v>
      </c>
      <c r="F32" s="12" t="s">
        <v>518</v>
      </c>
      <c r="G32" s="11" t="s">
        <v>519</v>
      </c>
    </row>
    <row r="33" spans="1:7" x14ac:dyDescent="0.25">
      <c r="A33" s="15" t="s">
        <v>516</v>
      </c>
      <c r="B33" s="14" t="s">
        <v>434</v>
      </c>
      <c r="C33" s="14" t="s">
        <v>435</v>
      </c>
      <c r="D33" s="14" t="s">
        <v>520</v>
      </c>
      <c r="E33" s="15">
        <v>2</v>
      </c>
      <c r="F33" s="15" t="s">
        <v>518</v>
      </c>
      <c r="G33" s="14" t="s">
        <v>521</v>
      </c>
    </row>
    <row r="34" spans="1:7" x14ac:dyDescent="0.25">
      <c r="A34" s="12" t="s">
        <v>522</v>
      </c>
      <c r="B34" s="11" t="s">
        <v>429</v>
      </c>
      <c r="C34" s="11" t="s">
        <v>430</v>
      </c>
      <c r="D34" s="11" t="s">
        <v>523</v>
      </c>
      <c r="E34" s="12">
        <v>3</v>
      </c>
      <c r="F34" s="12" t="s">
        <v>518</v>
      </c>
      <c r="G34" s="11" t="s">
        <v>524</v>
      </c>
    </row>
    <row r="35" spans="1:7" x14ac:dyDescent="0.25">
      <c r="A35" s="42" t="s">
        <v>522</v>
      </c>
      <c r="B35" s="43" t="s">
        <v>434</v>
      </c>
      <c r="C35" s="43" t="s">
        <v>435</v>
      </c>
      <c r="D35" s="44" t="s">
        <v>525</v>
      </c>
      <c r="E35" s="42">
        <v>2</v>
      </c>
      <c r="F35" s="42" t="s">
        <v>526</v>
      </c>
      <c r="G35" s="43" t="s">
        <v>527</v>
      </c>
    </row>
    <row r="37" spans="1:7" x14ac:dyDescent="0.25">
      <c r="A37" s="100" t="s">
        <v>528</v>
      </c>
      <c r="B37" s="90"/>
      <c r="C37" s="90"/>
      <c r="D37" s="90"/>
      <c r="E37" s="90"/>
      <c r="F37" s="90"/>
      <c r="G37" s="90"/>
    </row>
  </sheetData>
  <mergeCells count="3">
    <mergeCell ref="A2:G2"/>
    <mergeCell ref="A1:G1"/>
    <mergeCell ref="A37:G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3"/>
  <sheetViews>
    <sheetView showGridLines="0" workbookViewId="0"/>
  </sheetViews>
  <sheetFormatPr defaultRowHeight="15" x14ac:dyDescent="0.25"/>
  <cols>
    <col min="1" max="1" width="28" customWidth="1"/>
    <col min="2" max="2" width="14" customWidth="1"/>
    <col min="3" max="3" width="28" customWidth="1"/>
    <col min="4" max="4" width="12" customWidth="1"/>
    <col min="5" max="5" width="10" customWidth="1"/>
    <col min="6" max="6" width="38" customWidth="1"/>
  </cols>
  <sheetData>
    <row r="1" spans="1:6" ht="18.75" x14ac:dyDescent="0.25">
      <c r="A1" s="99" t="s">
        <v>529</v>
      </c>
      <c r="B1" s="90"/>
      <c r="C1" s="90"/>
      <c r="D1" s="90"/>
      <c r="E1" s="90"/>
      <c r="F1" s="90"/>
    </row>
    <row r="2" spans="1:6" x14ac:dyDescent="0.25">
      <c r="A2" s="94" t="s">
        <v>530</v>
      </c>
      <c r="B2" s="90"/>
      <c r="C2" s="90"/>
      <c r="D2" s="90"/>
      <c r="E2" s="90"/>
      <c r="F2" s="90"/>
    </row>
    <row r="3" spans="1:6" x14ac:dyDescent="0.25">
      <c r="A3" s="41" t="s">
        <v>531</v>
      </c>
      <c r="B3" s="41" t="s">
        <v>532</v>
      </c>
      <c r="C3" s="41" t="s">
        <v>533</v>
      </c>
      <c r="D3" s="41" t="s">
        <v>147</v>
      </c>
      <c r="E3" s="41" t="s">
        <v>534</v>
      </c>
      <c r="F3" s="41" t="s">
        <v>108</v>
      </c>
    </row>
    <row r="4" spans="1:6" x14ac:dyDescent="0.25">
      <c r="A4" s="45" t="s">
        <v>535</v>
      </c>
      <c r="B4" s="12" t="s">
        <v>536</v>
      </c>
      <c r="C4" s="46" t="s">
        <v>537</v>
      </c>
      <c r="D4" s="35" t="s">
        <v>156</v>
      </c>
      <c r="E4" s="12" t="s">
        <v>538</v>
      </c>
      <c r="F4" s="11" t="s">
        <v>539</v>
      </c>
    </row>
    <row r="5" spans="1:6" x14ac:dyDescent="0.25">
      <c r="A5" s="5" t="s">
        <v>540</v>
      </c>
      <c r="B5" s="15" t="s">
        <v>541</v>
      </c>
      <c r="C5" s="6" t="s">
        <v>537</v>
      </c>
      <c r="D5" s="35" t="s">
        <v>156</v>
      </c>
      <c r="E5" s="15" t="s">
        <v>538</v>
      </c>
      <c r="F5" s="14" t="s">
        <v>542</v>
      </c>
    </row>
    <row r="6" spans="1:6" x14ac:dyDescent="0.25">
      <c r="A6" s="45" t="s">
        <v>543</v>
      </c>
      <c r="B6" s="12" t="s">
        <v>544</v>
      </c>
      <c r="C6" s="46" t="s">
        <v>537</v>
      </c>
      <c r="D6" s="35" t="s">
        <v>156</v>
      </c>
      <c r="E6" s="12" t="s">
        <v>538</v>
      </c>
      <c r="F6" s="11" t="s">
        <v>545</v>
      </c>
    </row>
    <row r="7" spans="1:6" x14ac:dyDescent="0.25">
      <c r="A7" s="5" t="s">
        <v>546</v>
      </c>
      <c r="B7" s="15" t="s">
        <v>547</v>
      </c>
      <c r="C7" s="6" t="s">
        <v>548</v>
      </c>
      <c r="D7" s="35" t="s">
        <v>156</v>
      </c>
      <c r="E7" s="15" t="s">
        <v>538</v>
      </c>
      <c r="F7" s="14" t="s">
        <v>549</v>
      </c>
    </row>
    <row r="8" spans="1:6" x14ac:dyDescent="0.25">
      <c r="A8" s="45" t="s">
        <v>550</v>
      </c>
      <c r="B8" s="12" t="s">
        <v>551</v>
      </c>
      <c r="C8" s="46" t="s">
        <v>552</v>
      </c>
      <c r="D8" s="35" t="s">
        <v>156</v>
      </c>
      <c r="E8" s="12" t="s">
        <v>538</v>
      </c>
      <c r="F8" s="11" t="s">
        <v>553</v>
      </c>
    </row>
    <row r="9" spans="1:6" x14ac:dyDescent="0.25">
      <c r="A9" s="5" t="s">
        <v>554</v>
      </c>
      <c r="B9" s="15" t="s">
        <v>555</v>
      </c>
      <c r="C9" s="6" t="s">
        <v>548</v>
      </c>
      <c r="D9" s="33" t="s">
        <v>152</v>
      </c>
      <c r="E9" s="15" t="s">
        <v>538</v>
      </c>
      <c r="F9" s="14" t="s">
        <v>556</v>
      </c>
    </row>
    <row r="10" spans="1:6" x14ac:dyDescent="0.25">
      <c r="A10" s="45" t="s">
        <v>557</v>
      </c>
      <c r="B10" s="12" t="s">
        <v>558</v>
      </c>
      <c r="C10" s="46" t="s">
        <v>559</v>
      </c>
      <c r="D10" s="33" t="s">
        <v>152</v>
      </c>
      <c r="E10" s="12" t="s">
        <v>538</v>
      </c>
      <c r="F10" s="11" t="s">
        <v>560</v>
      </c>
    </row>
    <row r="11" spans="1:6" x14ac:dyDescent="0.25">
      <c r="A11" s="5" t="s">
        <v>561</v>
      </c>
      <c r="B11" s="15" t="s">
        <v>562</v>
      </c>
      <c r="C11" s="6" t="s">
        <v>563</v>
      </c>
      <c r="D11" s="33" t="s">
        <v>152</v>
      </c>
      <c r="E11" s="15" t="s">
        <v>538</v>
      </c>
      <c r="F11" s="14" t="s">
        <v>564</v>
      </c>
    </row>
    <row r="12" spans="1:6" x14ac:dyDescent="0.25">
      <c r="A12" s="45" t="s">
        <v>565</v>
      </c>
      <c r="B12" s="12" t="s">
        <v>566</v>
      </c>
      <c r="C12" s="46" t="s">
        <v>567</v>
      </c>
      <c r="D12" s="33" t="s">
        <v>152</v>
      </c>
      <c r="E12" s="12" t="s">
        <v>538</v>
      </c>
      <c r="F12" s="11" t="s">
        <v>568</v>
      </c>
    </row>
    <row r="13" spans="1:6" x14ac:dyDescent="0.25">
      <c r="A13" s="5" t="s">
        <v>569</v>
      </c>
      <c r="B13" s="15" t="s">
        <v>570</v>
      </c>
      <c r="C13" s="6" t="s">
        <v>571</v>
      </c>
      <c r="D13" s="34" t="s">
        <v>153</v>
      </c>
      <c r="E13" s="15" t="s">
        <v>538</v>
      </c>
      <c r="F13" s="14" t="s">
        <v>572</v>
      </c>
    </row>
    <row r="14" spans="1:6" x14ac:dyDescent="0.25">
      <c r="A14" s="45" t="s">
        <v>573</v>
      </c>
      <c r="B14" s="12" t="s">
        <v>574</v>
      </c>
      <c r="C14" s="46" t="s">
        <v>571</v>
      </c>
      <c r="D14" s="34" t="s">
        <v>153</v>
      </c>
      <c r="E14" s="12" t="s">
        <v>538</v>
      </c>
      <c r="F14" s="11" t="s">
        <v>575</v>
      </c>
    </row>
    <row r="15" spans="1:6" x14ac:dyDescent="0.25">
      <c r="A15" s="5" t="s">
        <v>576</v>
      </c>
      <c r="B15" s="15" t="s">
        <v>577</v>
      </c>
      <c r="C15" s="6" t="s">
        <v>578</v>
      </c>
      <c r="D15" s="35" t="s">
        <v>156</v>
      </c>
      <c r="E15" s="15" t="s">
        <v>538</v>
      </c>
      <c r="F15" s="14" t="s">
        <v>579</v>
      </c>
    </row>
    <row r="16" spans="1:6" x14ac:dyDescent="0.25">
      <c r="A16" s="45" t="s">
        <v>580</v>
      </c>
      <c r="B16" s="12" t="s">
        <v>581</v>
      </c>
      <c r="C16" s="46" t="s">
        <v>582</v>
      </c>
      <c r="D16" s="33" t="s">
        <v>152</v>
      </c>
      <c r="E16" s="12" t="s">
        <v>538</v>
      </c>
      <c r="F16" s="11" t="s">
        <v>583</v>
      </c>
    </row>
    <row r="17" spans="1:6" x14ac:dyDescent="0.25">
      <c r="A17" s="5" t="s">
        <v>584</v>
      </c>
      <c r="B17" s="15" t="s">
        <v>585</v>
      </c>
      <c r="C17" s="6" t="s">
        <v>578</v>
      </c>
      <c r="D17" s="35" t="s">
        <v>156</v>
      </c>
      <c r="E17" s="15" t="s">
        <v>538</v>
      </c>
      <c r="F17" s="14" t="s">
        <v>586</v>
      </c>
    </row>
    <row r="18" spans="1:6" x14ac:dyDescent="0.25">
      <c r="A18" s="45" t="s">
        <v>587</v>
      </c>
      <c r="B18" s="12" t="s">
        <v>588</v>
      </c>
      <c r="C18" s="46" t="s">
        <v>559</v>
      </c>
      <c r="D18" s="33" t="s">
        <v>152</v>
      </c>
      <c r="E18" s="12" t="s">
        <v>538</v>
      </c>
      <c r="F18" s="11" t="s">
        <v>589</v>
      </c>
    </row>
    <row r="19" spans="1:6" x14ac:dyDescent="0.25">
      <c r="A19" s="5" t="s">
        <v>590</v>
      </c>
      <c r="B19" s="15" t="s">
        <v>591</v>
      </c>
      <c r="C19" s="6" t="s">
        <v>592</v>
      </c>
      <c r="D19" s="35" t="s">
        <v>156</v>
      </c>
      <c r="E19" s="15" t="s">
        <v>538</v>
      </c>
      <c r="F19" s="14" t="s">
        <v>593</v>
      </c>
    </row>
    <row r="20" spans="1:6" x14ac:dyDescent="0.25">
      <c r="A20" s="45" t="s">
        <v>594</v>
      </c>
      <c r="B20" s="12" t="s">
        <v>595</v>
      </c>
      <c r="C20" s="46" t="s">
        <v>596</v>
      </c>
      <c r="D20" s="35" t="s">
        <v>156</v>
      </c>
      <c r="E20" s="12" t="s">
        <v>538</v>
      </c>
      <c r="F20" s="11" t="s">
        <v>597</v>
      </c>
    </row>
    <row r="21" spans="1:6" x14ac:dyDescent="0.25">
      <c r="A21" s="5" t="s">
        <v>598</v>
      </c>
      <c r="B21" s="15" t="s">
        <v>599</v>
      </c>
      <c r="C21" s="6" t="s">
        <v>552</v>
      </c>
      <c r="D21" s="35" t="s">
        <v>156</v>
      </c>
      <c r="E21" s="15" t="s">
        <v>538</v>
      </c>
      <c r="F21" s="14" t="s">
        <v>600</v>
      </c>
    </row>
    <row r="23" spans="1:6" x14ac:dyDescent="0.25">
      <c r="A23" s="101" t="s">
        <v>601</v>
      </c>
      <c r="B23" s="90"/>
      <c r="C23" s="90"/>
      <c r="D23" s="90"/>
      <c r="E23" s="90"/>
      <c r="F23" s="90"/>
    </row>
  </sheetData>
  <mergeCells count="3">
    <mergeCell ref="A2:F2"/>
    <mergeCell ref="A1:F1"/>
    <mergeCell ref="A23:F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25"/>
  <sheetViews>
    <sheetView showGridLines="0" workbookViewId="0"/>
  </sheetViews>
  <sheetFormatPr defaultRowHeight="15" x14ac:dyDescent="0.25"/>
  <cols>
    <col min="1" max="1" width="22" customWidth="1"/>
    <col min="2" max="2" width="16" customWidth="1"/>
    <col min="3" max="3" width="14" customWidth="1"/>
    <col min="4" max="4" width="12" customWidth="1"/>
    <col min="5" max="5" width="10" customWidth="1"/>
    <col min="6" max="6" width="36" customWidth="1"/>
  </cols>
  <sheetData>
    <row r="1" spans="1:6" ht="18.75" x14ac:dyDescent="0.25">
      <c r="A1" s="92" t="s">
        <v>602</v>
      </c>
      <c r="B1" s="90"/>
      <c r="C1" s="90"/>
      <c r="D1" s="90"/>
      <c r="E1" s="90"/>
      <c r="F1" s="90"/>
    </row>
    <row r="2" spans="1:6" x14ac:dyDescent="0.25">
      <c r="A2" s="94" t="s">
        <v>603</v>
      </c>
      <c r="B2" s="90"/>
      <c r="C2" s="90"/>
      <c r="D2" s="90"/>
      <c r="E2" s="90"/>
      <c r="F2" s="90"/>
    </row>
    <row r="3" spans="1:6" x14ac:dyDescent="0.25">
      <c r="A3" s="102" t="s">
        <v>604</v>
      </c>
      <c r="B3" s="90"/>
      <c r="C3" s="90"/>
      <c r="D3" s="90"/>
      <c r="E3" s="90"/>
      <c r="F3" s="90"/>
    </row>
    <row r="4" spans="1:6" x14ac:dyDescent="0.25">
      <c r="A4" s="103" t="s">
        <v>605</v>
      </c>
      <c r="B4" s="90"/>
      <c r="C4" s="90"/>
      <c r="D4" s="90"/>
      <c r="E4" s="90"/>
      <c r="F4" s="90"/>
    </row>
    <row r="5" spans="1:6" x14ac:dyDescent="0.25">
      <c r="A5" s="47" t="s">
        <v>606</v>
      </c>
      <c r="B5" s="47" t="s">
        <v>607</v>
      </c>
      <c r="C5" s="47" t="s">
        <v>608</v>
      </c>
      <c r="D5" s="47" t="s">
        <v>609</v>
      </c>
      <c r="E5" s="47" t="s">
        <v>610</v>
      </c>
      <c r="F5" s="47" t="s">
        <v>108</v>
      </c>
    </row>
    <row r="6" spans="1:6" x14ac:dyDescent="0.25">
      <c r="A6" s="5" t="s">
        <v>611</v>
      </c>
      <c r="B6" s="15" t="s">
        <v>612</v>
      </c>
      <c r="C6" s="15" t="s">
        <v>613</v>
      </c>
      <c r="D6" s="48" t="s">
        <v>614</v>
      </c>
      <c r="E6" s="15" t="s">
        <v>141</v>
      </c>
      <c r="F6" s="14" t="s">
        <v>615</v>
      </c>
    </row>
    <row r="7" spans="1:6" x14ac:dyDescent="0.25">
      <c r="A7" s="7" t="s">
        <v>616</v>
      </c>
      <c r="B7" s="49" t="s">
        <v>617</v>
      </c>
      <c r="C7" s="49" t="s">
        <v>613</v>
      </c>
      <c r="D7" s="49"/>
      <c r="E7" s="49" t="s">
        <v>141</v>
      </c>
      <c r="F7" s="32" t="s">
        <v>618</v>
      </c>
    </row>
    <row r="8" spans="1:6" x14ac:dyDescent="0.25">
      <c r="A8" s="5" t="s">
        <v>619</v>
      </c>
      <c r="B8" s="15" t="s">
        <v>617</v>
      </c>
      <c r="C8" s="15" t="s">
        <v>613</v>
      </c>
      <c r="D8" s="10" t="s">
        <v>620</v>
      </c>
      <c r="E8" s="15" t="s">
        <v>141</v>
      </c>
      <c r="F8" s="14" t="s">
        <v>621</v>
      </c>
    </row>
    <row r="9" spans="1:6" x14ac:dyDescent="0.25">
      <c r="A9" s="7" t="s">
        <v>622</v>
      </c>
      <c r="B9" s="49" t="s">
        <v>617</v>
      </c>
      <c r="C9" s="49" t="s">
        <v>613</v>
      </c>
      <c r="D9" s="49"/>
      <c r="E9" s="49" t="s">
        <v>141</v>
      </c>
      <c r="F9" s="32" t="s">
        <v>623</v>
      </c>
    </row>
    <row r="10" spans="1:6" x14ac:dyDescent="0.25">
      <c r="A10" s="5" t="s">
        <v>624</v>
      </c>
      <c r="B10" s="15" t="s">
        <v>617</v>
      </c>
      <c r="C10" s="15" t="s">
        <v>613</v>
      </c>
      <c r="D10" s="15"/>
      <c r="E10" s="15" t="s">
        <v>141</v>
      </c>
      <c r="F10" s="14" t="s">
        <v>625</v>
      </c>
    </row>
    <row r="11" spans="1:6" x14ac:dyDescent="0.25">
      <c r="A11" s="7" t="s">
        <v>626</v>
      </c>
      <c r="B11" s="49" t="s">
        <v>617</v>
      </c>
      <c r="C11" s="49" t="s">
        <v>627</v>
      </c>
      <c r="D11" s="49"/>
      <c r="E11" s="49" t="s">
        <v>141</v>
      </c>
      <c r="F11" s="32" t="s">
        <v>628</v>
      </c>
    </row>
    <row r="12" spans="1:6" x14ac:dyDescent="0.25">
      <c r="A12" s="5" t="s">
        <v>629</v>
      </c>
      <c r="B12" s="15" t="s">
        <v>617</v>
      </c>
      <c r="C12" s="15" t="s">
        <v>627</v>
      </c>
      <c r="D12" s="15"/>
      <c r="E12" s="15" t="s">
        <v>141</v>
      </c>
      <c r="F12" s="14" t="s">
        <v>630</v>
      </c>
    </row>
    <row r="13" spans="1:6" x14ac:dyDescent="0.25">
      <c r="A13" s="7" t="s">
        <v>631</v>
      </c>
      <c r="B13" s="49" t="s">
        <v>617</v>
      </c>
      <c r="C13" s="49" t="s">
        <v>627</v>
      </c>
      <c r="D13" s="49"/>
      <c r="E13" s="49" t="s">
        <v>141</v>
      </c>
      <c r="F13" s="32" t="s">
        <v>632</v>
      </c>
    </row>
    <row r="14" spans="1:6" x14ac:dyDescent="0.25">
      <c r="A14" s="5" t="s">
        <v>633</v>
      </c>
      <c r="B14" s="15" t="s">
        <v>617</v>
      </c>
      <c r="C14" s="15" t="s">
        <v>627</v>
      </c>
      <c r="D14" s="15"/>
      <c r="E14" s="15" t="s">
        <v>141</v>
      </c>
      <c r="F14" s="14" t="s">
        <v>634</v>
      </c>
    </row>
    <row r="15" spans="1:6" x14ac:dyDescent="0.25">
      <c r="A15" s="7" t="s">
        <v>635</v>
      </c>
      <c r="B15" s="49" t="s">
        <v>617</v>
      </c>
      <c r="C15" s="49" t="s">
        <v>627</v>
      </c>
      <c r="D15" s="49"/>
      <c r="E15" s="49" t="s">
        <v>141</v>
      </c>
      <c r="F15" s="32" t="s">
        <v>636</v>
      </c>
    </row>
    <row r="16" spans="1:6" x14ac:dyDescent="0.25">
      <c r="A16" s="5" t="s">
        <v>637</v>
      </c>
      <c r="B16" s="15" t="s">
        <v>617</v>
      </c>
      <c r="C16" s="15" t="s">
        <v>627</v>
      </c>
      <c r="D16" s="15"/>
      <c r="E16" s="15" t="s">
        <v>141</v>
      </c>
      <c r="F16" s="14" t="s">
        <v>638</v>
      </c>
    </row>
    <row r="17" spans="1:6" x14ac:dyDescent="0.25">
      <c r="A17" s="7" t="s">
        <v>639</v>
      </c>
      <c r="B17" s="49" t="s">
        <v>617</v>
      </c>
      <c r="C17" s="49" t="s">
        <v>627</v>
      </c>
      <c r="D17" s="49"/>
      <c r="E17" s="49" t="s">
        <v>141</v>
      </c>
      <c r="F17" s="32" t="s">
        <v>640</v>
      </c>
    </row>
    <row r="18" spans="1:6" x14ac:dyDescent="0.25">
      <c r="A18" s="5" t="s">
        <v>641</v>
      </c>
      <c r="B18" s="15" t="s">
        <v>617</v>
      </c>
      <c r="C18" s="15" t="s">
        <v>627</v>
      </c>
      <c r="D18" s="15"/>
      <c r="E18" s="15" t="s">
        <v>141</v>
      </c>
      <c r="F18" s="14" t="s">
        <v>642</v>
      </c>
    </row>
    <row r="19" spans="1:6" x14ac:dyDescent="0.25">
      <c r="A19" s="7" t="s">
        <v>643</v>
      </c>
      <c r="B19" s="49" t="s">
        <v>617</v>
      </c>
      <c r="C19" s="49" t="s">
        <v>613</v>
      </c>
      <c r="D19" s="49"/>
      <c r="E19" s="49" t="s">
        <v>141</v>
      </c>
      <c r="F19" s="32" t="s">
        <v>644</v>
      </c>
    </row>
    <row r="20" spans="1:6" x14ac:dyDescent="0.25">
      <c r="A20" s="5" t="s">
        <v>645</v>
      </c>
      <c r="B20" s="15" t="s">
        <v>617</v>
      </c>
      <c r="C20" s="15" t="s">
        <v>613</v>
      </c>
      <c r="D20" s="15"/>
      <c r="E20" s="15" t="s">
        <v>141</v>
      </c>
      <c r="F20" s="14" t="s">
        <v>644</v>
      </c>
    </row>
    <row r="22" spans="1:6" x14ac:dyDescent="0.25">
      <c r="A22" s="102" t="s">
        <v>646</v>
      </c>
      <c r="B22" s="90"/>
      <c r="C22" s="90"/>
      <c r="D22" s="90"/>
      <c r="E22" s="90"/>
      <c r="F22" s="90"/>
    </row>
    <row r="23" spans="1:6" x14ac:dyDescent="0.25">
      <c r="A23" s="103" t="s">
        <v>647</v>
      </c>
      <c r="B23" s="90"/>
      <c r="C23" s="90"/>
      <c r="D23" s="90"/>
      <c r="E23" s="90"/>
      <c r="F23" s="90"/>
    </row>
    <row r="24" spans="1:6" x14ac:dyDescent="0.25">
      <c r="A24" s="47" t="s">
        <v>606</v>
      </c>
      <c r="B24" s="47" t="s">
        <v>607</v>
      </c>
      <c r="C24" s="47" t="s">
        <v>608</v>
      </c>
      <c r="D24" s="47" t="s">
        <v>609</v>
      </c>
      <c r="E24" s="47" t="s">
        <v>610</v>
      </c>
      <c r="F24" s="47" t="s">
        <v>108</v>
      </c>
    </row>
    <row r="25" spans="1:6" x14ac:dyDescent="0.25">
      <c r="A25" s="5" t="s">
        <v>611</v>
      </c>
      <c r="B25" s="15" t="s">
        <v>612</v>
      </c>
      <c r="C25" s="15" t="s">
        <v>613</v>
      </c>
      <c r="D25" s="48" t="s">
        <v>614</v>
      </c>
      <c r="E25" s="15" t="s">
        <v>141</v>
      </c>
      <c r="F25" s="14"/>
    </row>
    <row r="26" spans="1:6" x14ac:dyDescent="0.25">
      <c r="A26" s="7" t="s">
        <v>648</v>
      </c>
      <c r="B26" s="49" t="s">
        <v>649</v>
      </c>
      <c r="C26" s="49" t="s">
        <v>613</v>
      </c>
      <c r="D26" s="25" t="s">
        <v>650</v>
      </c>
      <c r="E26" s="49" t="s">
        <v>651</v>
      </c>
      <c r="F26" s="32" t="s">
        <v>652</v>
      </c>
    </row>
    <row r="27" spans="1:6" x14ac:dyDescent="0.25">
      <c r="A27" s="5" t="s">
        <v>653</v>
      </c>
      <c r="B27" s="15" t="s">
        <v>617</v>
      </c>
      <c r="C27" s="15" t="s">
        <v>613</v>
      </c>
      <c r="D27" s="15"/>
      <c r="E27" s="15" t="s">
        <v>141</v>
      </c>
      <c r="F27" s="14" t="s">
        <v>654</v>
      </c>
    </row>
    <row r="28" spans="1:6" x14ac:dyDescent="0.25">
      <c r="A28" s="7" t="s">
        <v>655</v>
      </c>
      <c r="B28" s="49" t="s">
        <v>617</v>
      </c>
      <c r="C28" s="49" t="s">
        <v>627</v>
      </c>
      <c r="D28" s="49"/>
      <c r="E28" s="49" t="s">
        <v>141</v>
      </c>
      <c r="F28" s="32" t="s">
        <v>656</v>
      </c>
    </row>
    <row r="29" spans="1:6" x14ac:dyDescent="0.25">
      <c r="A29" s="5" t="s">
        <v>657</v>
      </c>
      <c r="B29" s="15" t="s">
        <v>617</v>
      </c>
      <c r="C29" s="15" t="s">
        <v>627</v>
      </c>
      <c r="D29" s="15"/>
      <c r="E29" s="15" t="s">
        <v>141</v>
      </c>
      <c r="F29" s="14" t="s">
        <v>658</v>
      </c>
    </row>
    <row r="30" spans="1:6" x14ac:dyDescent="0.25">
      <c r="A30" s="7" t="s">
        <v>659</v>
      </c>
      <c r="B30" s="49" t="s">
        <v>617</v>
      </c>
      <c r="C30" s="49" t="s">
        <v>627</v>
      </c>
      <c r="D30" s="49"/>
      <c r="E30" s="49" t="s">
        <v>141</v>
      </c>
      <c r="F30" s="32" t="s">
        <v>660</v>
      </c>
    </row>
    <row r="31" spans="1:6" x14ac:dyDescent="0.25">
      <c r="A31" s="5" t="s">
        <v>661</v>
      </c>
      <c r="B31" s="15" t="s">
        <v>617</v>
      </c>
      <c r="C31" s="15" t="s">
        <v>627</v>
      </c>
      <c r="D31" s="15"/>
      <c r="E31" s="15" t="s">
        <v>141</v>
      </c>
      <c r="F31" s="14" t="s">
        <v>662</v>
      </c>
    </row>
    <row r="32" spans="1:6" x14ac:dyDescent="0.25">
      <c r="A32" s="7" t="s">
        <v>663</v>
      </c>
      <c r="B32" s="49" t="s">
        <v>617</v>
      </c>
      <c r="C32" s="49" t="s">
        <v>627</v>
      </c>
      <c r="D32" s="49"/>
      <c r="E32" s="49" t="s">
        <v>141</v>
      </c>
      <c r="F32" s="32" t="s">
        <v>664</v>
      </c>
    </row>
    <row r="33" spans="1:6" x14ac:dyDescent="0.25">
      <c r="A33" s="5" t="s">
        <v>665</v>
      </c>
      <c r="B33" s="15" t="s">
        <v>617</v>
      </c>
      <c r="C33" s="15" t="s">
        <v>627</v>
      </c>
      <c r="D33" s="15"/>
      <c r="E33" s="15" t="s">
        <v>141</v>
      </c>
      <c r="F33" s="14" t="s">
        <v>666</v>
      </c>
    </row>
    <row r="34" spans="1:6" x14ac:dyDescent="0.25">
      <c r="A34" s="7" t="s">
        <v>643</v>
      </c>
      <c r="B34" s="49" t="s">
        <v>617</v>
      </c>
      <c r="C34" s="49" t="s">
        <v>613</v>
      </c>
      <c r="D34" s="49"/>
      <c r="E34" s="49" t="s">
        <v>141</v>
      </c>
      <c r="F34" s="32"/>
    </row>
    <row r="35" spans="1:6" x14ac:dyDescent="0.25">
      <c r="A35" s="5" t="s">
        <v>645</v>
      </c>
      <c r="B35" s="15" t="s">
        <v>617</v>
      </c>
      <c r="C35" s="15" t="s">
        <v>613</v>
      </c>
      <c r="D35" s="15"/>
      <c r="E35" s="15" t="s">
        <v>141</v>
      </c>
      <c r="F35" s="14"/>
    </row>
    <row r="37" spans="1:6" x14ac:dyDescent="0.25">
      <c r="A37" s="102" t="s">
        <v>667</v>
      </c>
      <c r="B37" s="90"/>
      <c r="C37" s="90"/>
      <c r="D37" s="90"/>
      <c r="E37" s="90"/>
      <c r="F37" s="90"/>
    </row>
    <row r="38" spans="1:6" x14ac:dyDescent="0.25">
      <c r="A38" s="103" t="s">
        <v>668</v>
      </c>
      <c r="B38" s="90"/>
      <c r="C38" s="90"/>
      <c r="D38" s="90"/>
      <c r="E38" s="90"/>
      <c r="F38" s="90"/>
    </row>
    <row r="39" spans="1:6" x14ac:dyDescent="0.25">
      <c r="A39" s="47" t="s">
        <v>606</v>
      </c>
      <c r="B39" s="47" t="s">
        <v>607</v>
      </c>
      <c r="C39" s="47" t="s">
        <v>608</v>
      </c>
      <c r="D39" s="47" t="s">
        <v>609</v>
      </c>
      <c r="E39" s="47" t="s">
        <v>610</v>
      </c>
      <c r="F39" s="47" t="s">
        <v>108</v>
      </c>
    </row>
    <row r="40" spans="1:6" x14ac:dyDescent="0.25">
      <c r="A40" s="5" t="s">
        <v>611</v>
      </c>
      <c r="B40" s="15" t="s">
        <v>612</v>
      </c>
      <c r="C40" s="15" t="s">
        <v>613</v>
      </c>
      <c r="D40" s="48" t="s">
        <v>614</v>
      </c>
      <c r="E40" s="15" t="s">
        <v>141</v>
      </c>
      <c r="F40" s="14"/>
    </row>
    <row r="41" spans="1:6" x14ac:dyDescent="0.25">
      <c r="A41" s="7" t="s">
        <v>669</v>
      </c>
      <c r="B41" s="49" t="s">
        <v>649</v>
      </c>
      <c r="C41" s="49" t="s">
        <v>613</v>
      </c>
      <c r="D41" s="25" t="s">
        <v>650</v>
      </c>
      <c r="E41" s="49" t="s">
        <v>670</v>
      </c>
      <c r="F41" s="32" t="s">
        <v>652</v>
      </c>
    </row>
    <row r="42" spans="1:6" x14ac:dyDescent="0.25">
      <c r="A42" s="5" t="s">
        <v>671</v>
      </c>
      <c r="B42" s="15" t="s">
        <v>617</v>
      </c>
      <c r="C42" s="15" t="s">
        <v>613</v>
      </c>
      <c r="D42" s="15"/>
      <c r="E42" s="15" t="s">
        <v>141</v>
      </c>
      <c r="F42" s="14" t="s">
        <v>672</v>
      </c>
    </row>
    <row r="43" spans="1:6" x14ac:dyDescent="0.25">
      <c r="A43" s="7" t="s">
        <v>673</v>
      </c>
      <c r="B43" s="49" t="s">
        <v>649</v>
      </c>
      <c r="C43" s="49" t="s">
        <v>613</v>
      </c>
      <c r="D43" s="49"/>
      <c r="E43" s="49" t="s">
        <v>141</v>
      </c>
      <c r="F43" s="32" t="s">
        <v>674</v>
      </c>
    </row>
    <row r="44" spans="1:6" x14ac:dyDescent="0.25">
      <c r="A44" s="5" t="s">
        <v>643</v>
      </c>
      <c r="B44" s="15" t="s">
        <v>617</v>
      </c>
      <c r="C44" s="15" t="s">
        <v>613</v>
      </c>
      <c r="D44" s="15"/>
      <c r="E44" s="15" t="s">
        <v>141</v>
      </c>
      <c r="F44" s="14"/>
    </row>
    <row r="46" spans="1:6" x14ac:dyDescent="0.25">
      <c r="A46" s="102" t="s">
        <v>675</v>
      </c>
      <c r="B46" s="90"/>
      <c r="C46" s="90"/>
      <c r="D46" s="90"/>
      <c r="E46" s="90"/>
      <c r="F46" s="90"/>
    </row>
    <row r="47" spans="1:6" x14ac:dyDescent="0.25">
      <c r="A47" s="103" t="s">
        <v>676</v>
      </c>
      <c r="B47" s="90"/>
      <c r="C47" s="90"/>
      <c r="D47" s="90"/>
      <c r="E47" s="90"/>
      <c r="F47" s="90"/>
    </row>
    <row r="48" spans="1:6" x14ac:dyDescent="0.25">
      <c r="A48" s="47" t="s">
        <v>606</v>
      </c>
      <c r="B48" s="47" t="s">
        <v>607</v>
      </c>
      <c r="C48" s="47" t="s">
        <v>608</v>
      </c>
      <c r="D48" s="47" t="s">
        <v>609</v>
      </c>
      <c r="E48" s="47" t="s">
        <v>610</v>
      </c>
      <c r="F48" s="47" t="s">
        <v>108</v>
      </c>
    </row>
    <row r="49" spans="1:6" x14ac:dyDescent="0.25">
      <c r="A49" s="5" t="s">
        <v>611</v>
      </c>
      <c r="B49" s="15" t="s">
        <v>612</v>
      </c>
      <c r="C49" s="15" t="s">
        <v>613</v>
      </c>
      <c r="D49" s="48" t="s">
        <v>614</v>
      </c>
      <c r="E49" s="15" t="s">
        <v>141</v>
      </c>
      <c r="F49" s="14"/>
    </row>
    <row r="50" spans="1:6" x14ac:dyDescent="0.25">
      <c r="A50" s="7" t="s">
        <v>648</v>
      </c>
      <c r="B50" s="49" t="s">
        <v>649</v>
      </c>
      <c r="C50" s="49" t="s">
        <v>613</v>
      </c>
      <c r="D50" s="25" t="s">
        <v>650</v>
      </c>
      <c r="E50" s="49" t="s">
        <v>651</v>
      </c>
      <c r="F50" s="32" t="s">
        <v>652</v>
      </c>
    </row>
    <row r="51" spans="1:6" x14ac:dyDescent="0.25">
      <c r="A51" s="5" t="s">
        <v>653</v>
      </c>
      <c r="B51" s="15" t="s">
        <v>617</v>
      </c>
      <c r="C51" s="15" t="s">
        <v>613</v>
      </c>
      <c r="D51" s="15"/>
      <c r="E51" s="15" t="s">
        <v>141</v>
      </c>
      <c r="F51" s="14"/>
    </row>
    <row r="52" spans="1:6" x14ac:dyDescent="0.25">
      <c r="A52" s="7" t="s">
        <v>655</v>
      </c>
      <c r="B52" s="49" t="s">
        <v>617</v>
      </c>
      <c r="C52" s="49" t="s">
        <v>627</v>
      </c>
      <c r="D52" s="49"/>
      <c r="E52" s="49" t="s">
        <v>141</v>
      </c>
      <c r="F52" s="32"/>
    </row>
    <row r="53" spans="1:6" x14ac:dyDescent="0.25">
      <c r="A53" s="5" t="s">
        <v>677</v>
      </c>
      <c r="B53" s="15" t="s">
        <v>617</v>
      </c>
      <c r="C53" s="15" t="s">
        <v>627</v>
      </c>
      <c r="D53" s="15"/>
      <c r="E53" s="15" t="s">
        <v>141</v>
      </c>
      <c r="F53" s="14" t="s">
        <v>662</v>
      </c>
    </row>
    <row r="54" spans="1:6" ht="25.5" x14ac:dyDescent="0.25">
      <c r="A54" s="7" t="s">
        <v>678</v>
      </c>
      <c r="B54" s="49" t="s">
        <v>617</v>
      </c>
      <c r="C54" s="49" t="s">
        <v>613</v>
      </c>
      <c r="D54" s="49"/>
      <c r="E54" s="49" t="s">
        <v>141</v>
      </c>
      <c r="F54" s="32" t="s">
        <v>679</v>
      </c>
    </row>
    <row r="55" spans="1:6" x14ac:dyDescent="0.25">
      <c r="A55" s="5" t="s">
        <v>680</v>
      </c>
      <c r="B55" s="15" t="s">
        <v>617</v>
      </c>
      <c r="C55" s="15" t="s">
        <v>627</v>
      </c>
      <c r="D55" s="15"/>
      <c r="E55" s="15" t="s">
        <v>141</v>
      </c>
      <c r="F55" s="14" t="s">
        <v>681</v>
      </c>
    </row>
    <row r="56" spans="1:6" x14ac:dyDescent="0.25">
      <c r="A56" s="7" t="s">
        <v>643</v>
      </c>
      <c r="B56" s="49" t="s">
        <v>617</v>
      </c>
      <c r="C56" s="49" t="s">
        <v>613</v>
      </c>
      <c r="D56" s="49"/>
      <c r="E56" s="49" t="s">
        <v>141</v>
      </c>
      <c r="F56" s="32"/>
    </row>
    <row r="58" spans="1:6" x14ac:dyDescent="0.25">
      <c r="A58" s="102" t="s">
        <v>682</v>
      </c>
      <c r="B58" s="90"/>
      <c r="C58" s="90"/>
      <c r="D58" s="90"/>
      <c r="E58" s="90"/>
      <c r="F58" s="90"/>
    </row>
    <row r="59" spans="1:6" x14ac:dyDescent="0.25">
      <c r="A59" s="103" t="s">
        <v>683</v>
      </c>
      <c r="B59" s="90"/>
      <c r="C59" s="90"/>
      <c r="D59" s="90"/>
      <c r="E59" s="90"/>
      <c r="F59" s="90"/>
    </row>
    <row r="60" spans="1:6" x14ac:dyDescent="0.25">
      <c r="A60" s="47" t="s">
        <v>606</v>
      </c>
      <c r="B60" s="47" t="s">
        <v>607</v>
      </c>
      <c r="C60" s="47" t="s">
        <v>608</v>
      </c>
      <c r="D60" s="47" t="s">
        <v>609</v>
      </c>
      <c r="E60" s="47" t="s">
        <v>610</v>
      </c>
      <c r="F60" s="47" t="s">
        <v>108</v>
      </c>
    </row>
    <row r="61" spans="1:6" x14ac:dyDescent="0.25">
      <c r="A61" s="5" t="s">
        <v>611</v>
      </c>
      <c r="B61" s="15" t="s">
        <v>612</v>
      </c>
      <c r="C61" s="15" t="s">
        <v>613</v>
      </c>
      <c r="D61" s="48" t="s">
        <v>614</v>
      </c>
      <c r="E61" s="15" t="s">
        <v>141</v>
      </c>
      <c r="F61" s="14"/>
    </row>
    <row r="62" spans="1:6" x14ac:dyDescent="0.25">
      <c r="A62" s="7" t="s">
        <v>648</v>
      </c>
      <c r="B62" s="49" t="s">
        <v>649</v>
      </c>
      <c r="C62" s="49" t="s">
        <v>613</v>
      </c>
      <c r="D62" s="25" t="s">
        <v>650</v>
      </c>
      <c r="E62" s="49" t="s">
        <v>651</v>
      </c>
      <c r="F62" s="32" t="s">
        <v>652</v>
      </c>
    </row>
    <row r="63" spans="1:6" x14ac:dyDescent="0.25">
      <c r="A63" s="5" t="s">
        <v>653</v>
      </c>
      <c r="B63" s="15" t="s">
        <v>617</v>
      </c>
      <c r="C63" s="15" t="s">
        <v>613</v>
      </c>
      <c r="D63" s="15"/>
      <c r="E63" s="15" t="s">
        <v>141</v>
      </c>
      <c r="F63" s="14"/>
    </row>
    <row r="64" spans="1:6" x14ac:dyDescent="0.25">
      <c r="A64" s="7" t="s">
        <v>684</v>
      </c>
      <c r="B64" s="49" t="s">
        <v>617</v>
      </c>
      <c r="C64" s="49" t="s">
        <v>613</v>
      </c>
      <c r="D64" s="49"/>
      <c r="E64" s="49" t="s">
        <v>141</v>
      </c>
      <c r="F64" s="32" t="s">
        <v>685</v>
      </c>
    </row>
    <row r="65" spans="1:6" x14ac:dyDescent="0.25">
      <c r="A65" s="5" t="s">
        <v>686</v>
      </c>
      <c r="B65" s="15" t="s">
        <v>617</v>
      </c>
      <c r="C65" s="15" t="s">
        <v>627</v>
      </c>
      <c r="D65" s="15"/>
      <c r="E65" s="15" t="s">
        <v>141</v>
      </c>
      <c r="F65" s="14" t="s">
        <v>662</v>
      </c>
    </row>
    <row r="66" spans="1:6" x14ac:dyDescent="0.25">
      <c r="A66" s="7" t="s">
        <v>687</v>
      </c>
      <c r="B66" s="49" t="s">
        <v>617</v>
      </c>
      <c r="C66" s="49" t="s">
        <v>627</v>
      </c>
      <c r="D66" s="49"/>
      <c r="E66" s="49" t="s">
        <v>141</v>
      </c>
      <c r="F66" s="32" t="s">
        <v>688</v>
      </c>
    </row>
    <row r="67" spans="1:6" x14ac:dyDescent="0.25">
      <c r="A67" s="5" t="s">
        <v>671</v>
      </c>
      <c r="B67" s="15" t="s">
        <v>617</v>
      </c>
      <c r="C67" s="15" t="s">
        <v>627</v>
      </c>
      <c r="D67" s="15"/>
      <c r="E67" s="15" t="s">
        <v>141</v>
      </c>
      <c r="F67" s="14" t="s">
        <v>689</v>
      </c>
    </row>
    <row r="68" spans="1:6" x14ac:dyDescent="0.25">
      <c r="A68" s="7" t="s">
        <v>678</v>
      </c>
      <c r="B68" s="49" t="s">
        <v>617</v>
      </c>
      <c r="C68" s="49" t="s">
        <v>613</v>
      </c>
      <c r="D68" s="49"/>
      <c r="E68" s="49" t="s">
        <v>141</v>
      </c>
      <c r="F68" s="32" t="s">
        <v>690</v>
      </c>
    </row>
    <row r="69" spans="1:6" x14ac:dyDescent="0.25">
      <c r="A69" s="5" t="s">
        <v>643</v>
      </c>
      <c r="B69" s="15" t="s">
        <v>617</v>
      </c>
      <c r="C69" s="15" t="s">
        <v>613</v>
      </c>
      <c r="D69" s="15"/>
      <c r="E69" s="15" t="s">
        <v>141</v>
      </c>
      <c r="F69" s="14"/>
    </row>
    <row r="71" spans="1:6" x14ac:dyDescent="0.25">
      <c r="A71" s="102" t="s">
        <v>691</v>
      </c>
      <c r="B71" s="90"/>
      <c r="C71" s="90"/>
      <c r="D71" s="90"/>
      <c r="E71" s="90"/>
      <c r="F71" s="90"/>
    </row>
    <row r="72" spans="1:6" x14ac:dyDescent="0.25">
      <c r="A72" s="103" t="s">
        <v>692</v>
      </c>
      <c r="B72" s="90"/>
      <c r="C72" s="90"/>
      <c r="D72" s="90"/>
      <c r="E72" s="90"/>
      <c r="F72" s="90"/>
    </row>
    <row r="73" spans="1:6" x14ac:dyDescent="0.25">
      <c r="A73" s="47" t="s">
        <v>606</v>
      </c>
      <c r="B73" s="47" t="s">
        <v>607</v>
      </c>
      <c r="C73" s="47" t="s">
        <v>608</v>
      </c>
      <c r="D73" s="47" t="s">
        <v>609</v>
      </c>
      <c r="E73" s="47" t="s">
        <v>610</v>
      </c>
      <c r="F73" s="47" t="s">
        <v>108</v>
      </c>
    </row>
    <row r="74" spans="1:6" x14ac:dyDescent="0.25">
      <c r="A74" s="5" t="s">
        <v>611</v>
      </c>
      <c r="B74" s="15" t="s">
        <v>612</v>
      </c>
      <c r="C74" s="15" t="s">
        <v>613</v>
      </c>
      <c r="D74" s="48" t="s">
        <v>614</v>
      </c>
      <c r="E74" s="15" t="s">
        <v>141</v>
      </c>
      <c r="F74" s="14"/>
    </row>
    <row r="75" spans="1:6" x14ac:dyDescent="0.25">
      <c r="A75" s="7" t="s">
        <v>648</v>
      </c>
      <c r="B75" s="49" t="s">
        <v>649</v>
      </c>
      <c r="C75" s="49" t="s">
        <v>613</v>
      </c>
      <c r="D75" s="25" t="s">
        <v>650</v>
      </c>
      <c r="E75" s="49" t="s">
        <v>651</v>
      </c>
      <c r="F75" s="32" t="s">
        <v>652</v>
      </c>
    </row>
    <row r="76" spans="1:6" x14ac:dyDescent="0.25">
      <c r="A76" s="5" t="s">
        <v>653</v>
      </c>
      <c r="B76" s="15" t="s">
        <v>617</v>
      </c>
      <c r="C76" s="15" t="s">
        <v>613</v>
      </c>
      <c r="D76" s="15"/>
      <c r="E76" s="15" t="s">
        <v>141</v>
      </c>
      <c r="F76" s="14"/>
    </row>
    <row r="77" spans="1:6" x14ac:dyDescent="0.25">
      <c r="A77" s="7" t="s">
        <v>693</v>
      </c>
      <c r="B77" s="49" t="s">
        <v>617</v>
      </c>
      <c r="C77" s="49" t="s">
        <v>613</v>
      </c>
      <c r="D77" s="49"/>
      <c r="E77" s="49" t="s">
        <v>141</v>
      </c>
      <c r="F77" s="32" t="s">
        <v>694</v>
      </c>
    </row>
    <row r="78" spans="1:6" x14ac:dyDescent="0.25">
      <c r="A78" s="5" t="s">
        <v>695</v>
      </c>
      <c r="B78" s="15" t="s">
        <v>617</v>
      </c>
      <c r="C78" s="15" t="s">
        <v>627</v>
      </c>
      <c r="D78" s="15"/>
      <c r="E78" s="15" t="s">
        <v>141</v>
      </c>
      <c r="F78" s="14" t="s">
        <v>696</v>
      </c>
    </row>
    <row r="79" spans="1:6" x14ac:dyDescent="0.25">
      <c r="A79" s="7" t="s">
        <v>659</v>
      </c>
      <c r="B79" s="49" t="s">
        <v>617</v>
      </c>
      <c r="C79" s="49" t="s">
        <v>627</v>
      </c>
      <c r="D79" s="49"/>
      <c r="E79" s="49" t="s">
        <v>141</v>
      </c>
      <c r="F79" s="32" t="s">
        <v>660</v>
      </c>
    </row>
    <row r="80" spans="1:6" x14ac:dyDescent="0.25">
      <c r="A80" s="5" t="s">
        <v>697</v>
      </c>
      <c r="B80" s="15" t="s">
        <v>649</v>
      </c>
      <c r="C80" s="15" t="s">
        <v>613</v>
      </c>
      <c r="D80" s="15"/>
      <c r="E80" s="15" t="s">
        <v>141</v>
      </c>
      <c r="F80" s="14" t="s">
        <v>698</v>
      </c>
    </row>
    <row r="81" spans="1:6" x14ac:dyDescent="0.25">
      <c r="A81" s="7" t="s">
        <v>699</v>
      </c>
      <c r="B81" s="49" t="s">
        <v>617</v>
      </c>
      <c r="C81" s="49" t="s">
        <v>613</v>
      </c>
      <c r="D81" s="49"/>
      <c r="E81" s="49" t="s">
        <v>141</v>
      </c>
      <c r="F81" s="32" t="s">
        <v>662</v>
      </c>
    </row>
    <row r="82" spans="1:6" x14ac:dyDescent="0.25">
      <c r="A82" s="5" t="s">
        <v>643</v>
      </c>
      <c r="B82" s="15" t="s">
        <v>617</v>
      </c>
      <c r="C82" s="15" t="s">
        <v>613</v>
      </c>
      <c r="D82" s="15"/>
      <c r="E82" s="15" t="s">
        <v>141</v>
      </c>
      <c r="F82" s="14"/>
    </row>
    <row r="83" spans="1:6" x14ac:dyDescent="0.25">
      <c r="A83" s="7" t="s">
        <v>645</v>
      </c>
      <c r="B83" s="49" t="s">
        <v>617</v>
      </c>
      <c r="C83" s="49" t="s">
        <v>613</v>
      </c>
      <c r="D83" s="49"/>
      <c r="E83" s="49" t="s">
        <v>141</v>
      </c>
      <c r="F83" s="32"/>
    </row>
    <row r="85" spans="1:6" x14ac:dyDescent="0.25">
      <c r="A85" s="102" t="s">
        <v>700</v>
      </c>
      <c r="B85" s="90"/>
      <c r="C85" s="90"/>
      <c r="D85" s="90"/>
      <c r="E85" s="90"/>
      <c r="F85" s="90"/>
    </row>
    <row r="86" spans="1:6" x14ac:dyDescent="0.25">
      <c r="A86" s="103" t="s">
        <v>701</v>
      </c>
      <c r="B86" s="90"/>
      <c r="C86" s="90"/>
      <c r="D86" s="90"/>
      <c r="E86" s="90"/>
      <c r="F86" s="90"/>
    </row>
    <row r="87" spans="1:6" x14ac:dyDescent="0.25">
      <c r="A87" s="47" t="s">
        <v>606</v>
      </c>
      <c r="B87" s="47" t="s">
        <v>607</v>
      </c>
      <c r="C87" s="47" t="s">
        <v>608</v>
      </c>
      <c r="D87" s="47" t="s">
        <v>609</v>
      </c>
      <c r="E87" s="47" t="s">
        <v>610</v>
      </c>
      <c r="F87" s="47" t="s">
        <v>108</v>
      </c>
    </row>
    <row r="88" spans="1:6" x14ac:dyDescent="0.25">
      <c r="A88" s="5" t="s">
        <v>611</v>
      </c>
      <c r="B88" s="15" t="s">
        <v>612</v>
      </c>
      <c r="C88" s="15" t="s">
        <v>613</v>
      </c>
      <c r="D88" s="48" t="s">
        <v>614</v>
      </c>
      <c r="E88" s="15" t="s">
        <v>141</v>
      </c>
      <c r="F88" s="14"/>
    </row>
    <row r="89" spans="1:6" x14ac:dyDescent="0.25">
      <c r="A89" s="7" t="s">
        <v>648</v>
      </c>
      <c r="B89" s="49" t="s">
        <v>649</v>
      </c>
      <c r="C89" s="49" t="s">
        <v>613</v>
      </c>
      <c r="D89" s="25" t="s">
        <v>650</v>
      </c>
      <c r="E89" s="49" t="s">
        <v>651</v>
      </c>
      <c r="F89" s="32" t="s">
        <v>652</v>
      </c>
    </row>
    <row r="90" spans="1:6" x14ac:dyDescent="0.25">
      <c r="A90" s="5" t="s">
        <v>616</v>
      </c>
      <c r="B90" s="15" t="s">
        <v>617</v>
      </c>
      <c r="C90" s="15" t="s">
        <v>613</v>
      </c>
      <c r="D90" s="15"/>
      <c r="E90" s="15" t="s">
        <v>141</v>
      </c>
      <c r="F90" s="14" t="s">
        <v>702</v>
      </c>
    </row>
    <row r="91" spans="1:6" x14ac:dyDescent="0.25">
      <c r="A91" s="7" t="s">
        <v>703</v>
      </c>
      <c r="B91" s="49" t="s">
        <v>617</v>
      </c>
      <c r="C91" s="49" t="s">
        <v>613</v>
      </c>
      <c r="D91" s="49"/>
      <c r="E91" s="49" t="s">
        <v>141</v>
      </c>
      <c r="F91" s="32" t="s">
        <v>704</v>
      </c>
    </row>
    <row r="92" spans="1:6" x14ac:dyDescent="0.25">
      <c r="A92" s="5" t="s">
        <v>705</v>
      </c>
      <c r="B92" s="15" t="s">
        <v>649</v>
      </c>
      <c r="C92" s="15" t="s">
        <v>613</v>
      </c>
      <c r="D92" s="15"/>
      <c r="E92" s="15" t="s">
        <v>141</v>
      </c>
      <c r="F92" s="14" t="s">
        <v>706</v>
      </c>
    </row>
    <row r="93" spans="1:6" x14ac:dyDescent="0.25">
      <c r="A93" s="7" t="s">
        <v>707</v>
      </c>
      <c r="B93" s="49" t="s">
        <v>617</v>
      </c>
      <c r="C93" s="49" t="s">
        <v>627</v>
      </c>
      <c r="D93" s="49"/>
      <c r="E93" s="49" t="s">
        <v>141</v>
      </c>
      <c r="F93" s="32" t="s">
        <v>662</v>
      </c>
    </row>
    <row r="94" spans="1:6" x14ac:dyDescent="0.25">
      <c r="A94" s="5" t="s">
        <v>643</v>
      </c>
      <c r="B94" s="15" t="s">
        <v>617</v>
      </c>
      <c r="C94" s="15" t="s">
        <v>613</v>
      </c>
      <c r="D94" s="15"/>
      <c r="E94" s="15" t="s">
        <v>141</v>
      </c>
      <c r="F94" s="14"/>
    </row>
    <row r="96" spans="1:6" x14ac:dyDescent="0.25">
      <c r="A96" s="102" t="s">
        <v>708</v>
      </c>
      <c r="B96" s="90"/>
      <c r="C96" s="90"/>
      <c r="D96" s="90"/>
      <c r="E96" s="90"/>
      <c r="F96" s="90"/>
    </row>
    <row r="97" spans="1:6" x14ac:dyDescent="0.25">
      <c r="A97" s="103" t="s">
        <v>709</v>
      </c>
      <c r="B97" s="90"/>
      <c r="C97" s="90"/>
      <c r="D97" s="90"/>
      <c r="E97" s="90"/>
      <c r="F97" s="90"/>
    </row>
    <row r="98" spans="1:6" x14ac:dyDescent="0.25">
      <c r="A98" s="47" t="s">
        <v>606</v>
      </c>
      <c r="B98" s="47" t="s">
        <v>607</v>
      </c>
      <c r="C98" s="47" t="s">
        <v>608</v>
      </c>
      <c r="D98" s="47" t="s">
        <v>609</v>
      </c>
      <c r="E98" s="47" t="s">
        <v>610</v>
      </c>
      <c r="F98" s="47" t="s">
        <v>108</v>
      </c>
    </row>
    <row r="99" spans="1:6" x14ac:dyDescent="0.25">
      <c r="A99" s="5" t="s">
        <v>611</v>
      </c>
      <c r="B99" s="15" t="s">
        <v>612</v>
      </c>
      <c r="C99" s="15" t="s">
        <v>613</v>
      </c>
      <c r="D99" s="48" t="s">
        <v>614</v>
      </c>
      <c r="E99" s="15" t="s">
        <v>141</v>
      </c>
      <c r="F99" s="14"/>
    </row>
    <row r="100" spans="1:6" x14ac:dyDescent="0.25">
      <c r="A100" s="7" t="s">
        <v>648</v>
      </c>
      <c r="B100" s="49" t="s">
        <v>649</v>
      </c>
      <c r="C100" s="49" t="s">
        <v>613</v>
      </c>
      <c r="D100" s="25" t="s">
        <v>650</v>
      </c>
      <c r="E100" s="49" t="s">
        <v>651</v>
      </c>
      <c r="F100" s="32" t="s">
        <v>652</v>
      </c>
    </row>
    <row r="101" spans="1:6" x14ac:dyDescent="0.25">
      <c r="A101" s="5" t="s">
        <v>710</v>
      </c>
      <c r="B101" s="15" t="s">
        <v>649</v>
      </c>
      <c r="C101" s="15" t="s">
        <v>613</v>
      </c>
      <c r="D101" s="15"/>
      <c r="E101" s="15" t="s">
        <v>141</v>
      </c>
      <c r="F101" s="14" t="s">
        <v>711</v>
      </c>
    </row>
    <row r="102" spans="1:6" x14ac:dyDescent="0.25">
      <c r="A102" s="7" t="s">
        <v>712</v>
      </c>
      <c r="B102" s="49" t="s">
        <v>617</v>
      </c>
      <c r="C102" s="49" t="s">
        <v>627</v>
      </c>
      <c r="D102" s="49"/>
      <c r="E102" s="49" t="s">
        <v>141</v>
      </c>
      <c r="F102" s="32" t="s">
        <v>713</v>
      </c>
    </row>
    <row r="103" spans="1:6" x14ac:dyDescent="0.25">
      <c r="A103" s="5" t="s">
        <v>714</v>
      </c>
      <c r="B103" s="15" t="s">
        <v>617</v>
      </c>
      <c r="C103" s="15" t="s">
        <v>627</v>
      </c>
      <c r="D103" s="15"/>
      <c r="E103" s="15" t="s">
        <v>141</v>
      </c>
      <c r="F103" s="14" t="s">
        <v>715</v>
      </c>
    </row>
    <row r="104" spans="1:6" x14ac:dyDescent="0.25">
      <c r="A104" s="7" t="s">
        <v>716</v>
      </c>
      <c r="B104" s="49" t="s">
        <v>649</v>
      </c>
      <c r="C104" s="49" t="s">
        <v>613</v>
      </c>
      <c r="D104" s="49"/>
      <c r="E104" s="49" t="s">
        <v>141</v>
      </c>
      <c r="F104" s="32" t="s">
        <v>717</v>
      </c>
    </row>
    <row r="105" spans="1:6" x14ac:dyDescent="0.25">
      <c r="A105" s="5" t="s">
        <v>718</v>
      </c>
      <c r="B105" s="15" t="s">
        <v>617</v>
      </c>
      <c r="C105" s="15" t="s">
        <v>613</v>
      </c>
      <c r="D105" s="15"/>
      <c r="E105" s="15" t="s">
        <v>141</v>
      </c>
      <c r="F105" s="14" t="s">
        <v>719</v>
      </c>
    </row>
    <row r="107" spans="1:6" x14ac:dyDescent="0.25">
      <c r="A107" s="102" t="s">
        <v>720</v>
      </c>
      <c r="B107" s="90"/>
      <c r="C107" s="90"/>
      <c r="D107" s="90"/>
      <c r="E107" s="90"/>
      <c r="F107" s="90"/>
    </row>
    <row r="108" spans="1:6" x14ac:dyDescent="0.25">
      <c r="A108" s="103" t="s">
        <v>721</v>
      </c>
      <c r="B108" s="90"/>
      <c r="C108" s="90"/>
      <c r="D108" s="90"/>
      <c r="E108" s="90"/>
      <c r="F108" s="90"/>
    </row>
    <row r="109" spans="1:6" x14ac:dyDescent="0.25">
      <c r="A109" s="47" t="s">
        <v>606</v>
      </c>
      <c r="B109" s="47" t="s">
        <v>607</v>
      </c>
      <c r="C109" s="47" t="s">
        <v>608</v>
      </c>
      <c r="D109" s="47" t="s">
        <v>609</v>
      </c>
      <c r="E109" s="47" t="s">
        <v>610</v>
      </c>
      <c r="F109" s="47" t="s">
        <v>108</v>
      </c>
    </row>
    <row r="110" spans="1:6" x14ac:dyDescent="0.25">
      <c r="A110" s="5" t="s">
        <v>611</v>
      </c>
      <c r="B110" s="15" t="s">
        <v>612</v>
      </c>
      <c r="C110" s="15" t="s">
        <v>613</v>
      </c>
      <c r="D110" s="48" t="s">
        <v>614</v>
      </c>
      <c r="E110" s="15" t="s">
        <v>141</v>
      </c>
      <c r="F110" s="14"/>
    </row>
    <row r="111" spans="1:6" x14ac:dyDescent="0.25">
      <c r="A111" s="7" t="s">
        <v>648</v>
      </c>
      <c r="B111" s="49" t="s">
        <v>649</v>
      </c>
      <c r="C111" s="49" t="s">
        <v>613</v>
      </c>
      <c r="D111" s="25" t="s">
        <v>650</v>
      </c>
      <c r="E111" s="49" t="s">
        <v>651</v>
      </c>
      <c r="F111" s="32" t="s">
        <v>652</v>
      </c>
    </row>
    <row r="112" spans="1:6" x14ac:dyDescent="0.25">
      <c r="A112" s="5" t="s">
        <v>722</v>
      </c>
      <c r="B112" s="15" t="s">
        <v>617</v>
      </c>
      <c r="C112" s="15" t="s">
        <v>613</v>
      </c>
      <c r="D112" s="15"/>
      <c r="E112" s="15" t="s">
        <v>141</v>
      </c>
      <c r="F112" s="14" t="s">
        <v>723</v>
      </c>
    </row>
    <row r="113" spans="1:6" x14ac:dyDescent="0.25">
      <c r="A113" s="7" t="s">
        <v>710</v>
      </c>
      <c r="B113" s="49" t="s">
        <v>649</v>
      </c>
      <c r="C113" s="49" t="s">
        <v>627</v>
      </c>
      <c r="D113" s="49"/>
      <c r="E113" s="49" t="s">
        <v>141</v>
      </c>
      <c r="F113" s="32" t="s">
        <v>724</v>
      </c>
    </row>
    <row r="114" spans="1:6" x14ac:dyDescent="0.25">
      <c r="A114" s="5" t="s">
        <v>671</v>
      </c>
      <c r="B114" s="15" t="s">
        <v>617</v>
      </c>
      <c r="C114" s="15" t="s">
        <v>613</v>
      </c>
      <c r="D114" s="15"/>
      <c r="E114" s="15" t="s">
        <v>141</v>
      </c>
      <c r="F114" s="14" t="s">
        <v>725</v>
      </c>
    </row>
    <row r="115" spans="1:6" x14ac:dyDescent="0.25">
      <c r="A115" s="7" t="s">
        <v>726</v>
      </c>
      <c r="B115" s="49" t="s">
        <v>617</v>
      </c>
      <c r="C115" s="49" t="s">
        <v>613</v>
      </c>
      <c r="D115" s="49"/>
      <c r="E115" s="49" t="s">
        <v>141</v>
      </c>
      <c r="F115" s="32" t="s">
        <v>644</v>
      </c>
    </row>
    <row r="117" spans="1:6" x14ac:dyDescent="0.25">
      <c r="A117" s="102" t="s">
        <v>727</v>
      </c>
      <c r="B117" s="90"/>
      <c r="C117" s="90"/>
      <c r="D117" s="90"/>
      <c r="E117" s="90"/>
      <c r="F117" s="90"/>
    </row>
    <row r="118" spans="1:6" x14ac:dyDescent="0.25">
      <c r="A118" s="103" t="s">
        <v>728</v>
      </c>
      <c r="B118" s="90"/>
      <c r="C118" s="90"/>
      <c r="D118" s="90"/>
      <c r="E118" s="90"/>
      <c r="F118" s="90"/>
    </row>
    <row r="119" spans="1:6" x14ac:dyDescent="0.25">
      <c r="A119" s="47" t="s">
        <v>606</v>
      </c>
      <c r="B119" s="47" t="s">
        <v>607</v>
      </c>
      <c r="C119" s="47" t="s">
        <v>608</v>
      </c>
      <c r="D119" s="47" t="s">
        <v>609</v>
      </c>
      <c r="E119" s="47" t="s">
        <v>610</v>
      </c>
      <c r="F119" s="47" t="s">
        <v>108</v>
      </c>
    </row>
    <row r="120" spans="1:6" x14ac:dyDescent="0.25">
      <c r="A120" s="5" t="s">
        <v>611</v>
      </c>
      <c r="B120" s="15" t="s">
        <v>612</v>
      </c>
      <c r="C120" s="15" t="s">
        <v>613</v>
      </c>
      <c r="D120" s="48" t="s">
        <v>614</v>
      </c>
      <c r="E120" s="15" t="s">
        <v>141</v>
      </c>
      <c r="F120" s="14"/>
    </row>
    <row r="121" spans="1:6" x14ac:dyDescent="0.25">
      <c r="A121" s="7" t="s">
        <v>648</v>
      </c>
      <c r="B121" s="49" t="s">
        <v>649</v>
      </c>
      <c r="C121" s="49" t="s">
        <v>627</v>
      </c>
      <c r="D121" s="25" t="s">
        <v>650</v>
      </c>
      <c r="E121" s="49" t="s">
        <v>651</v>
      </c>
      <c r="F121" s="32" t="s">
        <v>729</v>
      </c>
    </row>
    <row r="122" spans="1:6" x14ac:dyDescent="0.25">
      <c r="A122" s="5" t="s">
        <v>730</v>
      </c>
      <c r="B122" s="15" t="s">
        <v>617</v>
      </c>
      <c r="C122" s="15" t="s">
        <v>613</v>
      </c>
      <c r="D122" s="15"/>
      <c r="E122" s="15" t="s">
        <v>141</v>
      </c>
      <c r="F122" s="14" t="s">
        <v>731</v>
      </c>
    </row>
    <row r="123" spans="1:6" x14ac:dyDescent="0.25">
      <c r="A123" s="7" t="s">
        <v>732</v>
      </c>
      <c r="B123" s="49" t="s">
        <v>617</v>
      </c>
      <c r="C123" s="49" t="s">
        <v>627</v>
      </c>
      <c r="D123" s="49"/>
      <c r="E123" s="49" t="s">
        <v>141</v>
      </c>
      <c r="F123" s="32" t="s">
        <v>733</v>
      </c>
    </row>
    <row r="124" spans="1:6" x14ac:dyDescent="0.25">
      <c r="A124" s="5" t="s">
        <v>734</v>
      </c>
      <c r="B124" s="15" t="s">
        <v>617</v>
      </c>
      <c r="C124" s="15" t="s">
        <v>613</v>
      </c>
      <c r="D124" s="15"/>
      <c r="E124" s="15" t="s">
        <v>141</v>
      </c>
      <c r="F124" s="14" t="s">
        <v>735</v>
      </c>
    </row>
    <row r="125" spans="1:6" x14ac:dyDescent="0.25">
      <c r="A125" s="7" t="s">
        <v>736</v>
      </c>
      <c r="B125" s="49" t="s">
        <v>617</v>
      </c>
      <c r="C125" s="49" t="s">
        <v>627</v>
      </c>
      <c r="D125" s="49"/>
      <c r="E125" s="49" t="s">
        <v>141</v>
      </c>
      <c r="F125" s="32" t="s">
        <v>737</v>
      </c>
    </row>
  </sheetData>
  <mergeCells count="22">
    <mergeCell ref="A1:F1"/>
    <mergeCell ref="A2:F2"/>
    <mergeCell ref="A71:F71"/>
    <mergeCell ref="A47:F47"/>
    <mergeCell ref="A85:F85"/>
    <mergeCell ref="A23:F23"/>
    <mergeCell ref="A22:F22"/>
    <mergeCell ref="A4:F4"/>
    <mergeCell ref="A72:F72"/>
    <mergeCell ref="A38:F38"/>
    <mergeCell ref="A58:F58"/>
    <mergeCell ref="A59:F59"/>
    <mergeCell ref="A46:F46"/>
    <mergeCell ref="A108:F108"/>
    <mergeCell ref="A118:F118"/>
    <mergeCell ref="A37:F37"/>
    <mergeCell ref="A3:F3"/>
    <mergeCell ref="A86:F86"/>
    <mergeCell ref="A97:F97"/>
    <mergeCell ref="A96:F96"/>
    <mergeCell ref="A117:F117"/>
    <mergeCell ref="A107:F10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6"/>
  <sheetViews>
    <sheetView showGridLines="0" workbookViewId="0"/>
  </sheetViews>
  <sheetFormatPr defaultRowHeight="15" x14ac:dyDescent="0.25"/>
  <cols>
    <col min="1" max="1" width="46" customWidth="1"/>
    <col min="2" max="2" width="18" customWidth="1"/>
    <col min="3" max="3" width="16" customWidth="1"/>
    <col min="4" max="4" width="42" customWidth="1"/>
  </cols>
  <sheetData>
    <row r="1" spans="1:4" ht="18.75" x14ac:dyDescent="0.25">
      <c r="A1" s="92" t="s">
        <v>738</v>
      </c>
      <c r="B1" s="90"/>
      <c r="C1" s="90"/>
      <c r="D1" s="90"/>
    </row>
    <row r="2" spans="1:4" x14ac:dyDescent="0.25">
      <c r="A2" s="94" t="s">
        <v>739</v>
      </c>
      <c r="B2" s="90"/>
      <c r="C2" s="90"/>
      <c r="D2" s="90"/>
    </row>
    <row r="3" spans="1:4" x14ac:dyDescent="0.25">
      <c r="A3" s="9" t="s">
        <v>740</v>
      </c>
      <c r="B3" s="9" t="s">
        <v>741</v>
      </c>
      <c r="C3" s="9" t="s">
        <v>742</v>
      </c>
      <c r="D3" s="9" t="s">
        <v>743</v>
      </c>
    </row>
    <row r="4" spans="1:4" ht="25.5" x14ac:dyDescent="0.25">
      <c r="A4" s="50" t="s">
        <v>744</v>
      </c>
      <c r="B4" s="51" t="s">
        <v>432</v>
      </c>
      <c r="C4" s="52" t="s">
        <v>110</v>
      </c>
      <c r="D4" s="53" t="s">
        <v>745</v>
      </c>
    </row>
    <row r="5" spans="1:4" ht="25.5" x14ac:dyDescent="0.25">
      <c r="A5" s="50" t="s">
        <v>746</v>
      </c>
      <c r="B5" s="51" t="s">
        <v>432</v>
      </c>
      <c r="C5" s="52" t="s">
        <v>110</v>
      </c>
      <c r="D5" s="53" t="s">
        <v>747</v>
      </c>
    </row>
    <row r="6" spans="1:4" ht="25.5" x14ac:dyDescent="0.25">
      <c r="A6" s="50" t="s">
        <v>748</v>
      </c>
      <c r="B6" s="51" t="s">
        <v>432</v>
      </c>
      <c r="C6" s="52" t="s">
        <v>116</v>
      </c>
      <c r="D6" s="53" t="s">
        <v>749</v>
      </c>
    </row>
    <row r="7" spans="1:4" ht="25.5" x14ac:dyDescent="0.25">
      <c r="A7" s="50" t="s">
        <v>750</v>
      </c>
      <c r="B7" s="51" t="s">
        <v>432</v>
      </c>
      <c r="C7" s="52" t="s">
        <v>121</v>
      </c>
      <c r="D7" s="53" t="s">
        <v>751</v>
      </c>
    </row>
    <row r="8" spans="1:4" ht="25.5" x14ac:dyDescent="0.25">
      <c r="A8" s="50" t="s">
        <v>752</v>
      </c>
      <c r="B8" s="51" t="s">
        <v>432</v>
      </c>
      <c r="C8" s="52" t="s">
        <v>121</v>
      </c>
      <c r="D8" s="53" t="s">
        <v>753</v>
      </c>
    </row>
    <row r="9" spans="1:4" ht="25.5" x14ac:dyDescent="0.25">
      <c r="A9" s="50" t="s">
        <v>754</v>
      </c>
      <c r="B9" s="51" t="s">
        <v>432</v>
      </c>
      <c r="C9" s="52" t="s">
        <v>116</v>
      </c>
      <c r="D9" s="53" t="s">
        <v>755</v>
      </c>
    </row>
    <row r="10" spans="1:4" x14ac:dyDescent="0.25">
      <c r="A10" s="54" t="s">
        <v>756</v>
      </c>
      <c r="B10" s="55" t="s">
        <v>446</v>
      </c>
      <c r="C10" s="56" t="s">
        <v>116</v>
      </c>
      <c r="D10" s="57" t="s">
        <v>757</v>
      </c>
    </row>
    <row r="11" spans="1:4" x14ac:dyDescent="0.25">
      <c r="A11" s="58" t="s">
        <v>758</v>
      </c>
      <c r="B11" s="59" t="s">
        <v>458</v>
      </c>
      <c r="C11" s="60" t="s">
        <v>116</v>
      </c>
      <c r="D11" s="61" t="s">
        <v>759</v>
      </c>
    </row>
    <row r="12" spans="1:4" x14ac:dyDescent="0.25">
      <c r="A12" s="62" t="s">
        <v>760</v>
      </c>
      <c r="B12" s="63" t="s">
        <v>470</v>
      </c>
      <c r="C12" s="64" t="s">
        <v>116</v>
      </c>
      <c r="D12" s="65" t="s">
        <v>761</v>
      </c>
    </row>
    <row r="13" spans="1:4" x14ac:dyDescent="0.25">
      <c r="A13" s="62" t="s">
        <v>762</v>
      </c>
      <c r="B13" s="63" t="s">
        <v>470</v>
      </c>
      <c r="C13" s="64" t="s">
        <v>116</v>
      </c>
      <c r="D13" s="65" t="s">
        <v>763</v>
      </c>
    </row>
    <row r="14" spans="1:4" x14ac:dyDescent="0.25">
      <c r="A14" s="62" t="s">
        <v>764</v>
      </c>
      <c r="B14" s="63" t="s">
        <v>470</v>
      </c>
      <c r="C14" s="64" t="s">
        <v>110</v>
      </c>
      <c r="D14" s="65" t="s">
        <v>765</v>
      </c>
    </row>
    <row r="15" spans="1:4" ht="25.5" x14ac:dyDescent="0.25">
      <c r="A15" s="66" t="s">
        <v>766</v>
      </c>
      <c r="B15" s="67" t="s">
        <v>482</v>
      </c>
      <c r="C15" s="68" t="s">
        <v>116</v>
      </c>
      <c r="D15" s="69" t="s">
        <v>767</v>
      </c>
    </row>
    <row r="16" spans="1:4" x14ac:dyDescent="0.25">
      <c r="A16" s="70" t="s">
        <v>768</v>
      </c>
      <c r="B16" s="71" t="s">
        <v>494</v>
      </c>
      <c r="C16" s="72" t="s">
        <v>116</v>
      </c>
      <c r="D16" s="73" t="s">
        <v>769</v>
      </c>
    </row>
    <row r="17" spans="1:4" ht="25.5" x14ac:dyDescent="0.25">
      <c r="A17" s="50" t="s">
        <v>770</v>
      </c>
      <c r="B17" s="51" t="s">
        <v>432</v>
      </c>
      <c r="C17" s="52" t="s">
        <v>116</v>
      </c>
      <c r="D17" s="53" t="s">
        <v>771</v>
      </c>
    </row>
    <row r="18" spans="1:4" ht="25.5" x14ac:dyDescent="0.25">
      <c r="A18" s="54" t="s">
        <v>772</v>
      </c>
      <c r="B18" s="55" t="s">
        <v>446</v>
      </c>
      <c r="C18" s="56" t="s">
        <v>116</v>
      </c>
      <c r="D18" s="57" t="s">
        <v>773</v>
      </c>
    </row>
    <row r="19" spans="1:4" ht="25.5" x14ac:dyDescent="0.25">
      <c r="A19" s="54" t="s">
        <v>774</v>
      </c>
      <c r="B19" s="55" t="s">
        <v>446</v>
      </c>
      <c r="C19" s="56" t="s">
        <v>116</v>
      </c>
      <c r="D19" s="57" t="s">
        <v>775</v>
      </c>
    </row>
    <row r="20" spans="1:4" ht="25.5" x14ac:dyDescent="0.25">
      <c r="A20" s="58" t="s">
        <v>776</v>
      </c>
      <c r="B20" s="59" t="s">
        <v>458</v>
      </c>
      <c r="C20" s="60" t="s">
        <v>116</v>
      </c>
      <c r="D20" s="61" t="s">
        <v>777</v>
      </c>
    </row>
    <row r="21" spans="1:4" ht="25.5" x14ac:dyDescent="0.25">
      <c r="A21" s="58" t="s">
        <v>778</v>
      </c>
      <c r="B21" s="59" t="s">
        <v>458</v>
      </c>
      <c r="C21" s="60" t="s">
        <v>110</v>
      </c>
      <c r="D21" s="61" t="s">
        <v>779</v>
      </c>
    </row>
    <row r="22" spans="1:4" x14ac:dyDescent="0.25">
      <c r="A22" s="58" t="s">
        <v>780</v>
      </c>
      <c r="B22" s="59" t="s">
        <v>458</v>
      </c>
      <c r="C22" s="60" t="s">
        <v>116</v>
      </c>
      <c r="D22" s="61" t="s">
        <v>781</v>
      </c>
    </row>
    <row r="23" spans="1:4" x14ac:dyDescent="0.25">
      <c r="A23" s="62" t="s">
        <v>782</v>
      </c>
      <c r="B23" s="63" t="s">
        <v>470</v>
      </c>
      <c r="C23" s="64" t="s">
        <v>116</v>
      </c>
      <c r="D23" s="65" t="s">
        <v>783</v>
      </c>
    </row>
    <row r="24" spans="1:4" x14ac:dyDescent="0.25">
      <c r="A24" s="62" t="s">
        <v>784</v>
      </c>
      <c r="B24" s="63" t="s">
        <v>470</v>
      </c>
      <c r="C24" s="64" t="s">
        <v>116</v>
      </c>
      <c r="D24" s="65" t="s">
        <v>785</v>
      </c>
    </row>
    <row r="25" spans="1:4" x14ac:dyDescent="0.25">
      <c r="A25" s="62" t="s">
        <v>786</v>
      </c>
      <c r="B25" s="63" t="s">
        <v>470</v>
      </c>
      <c r="C25" s="64" t="s">
        <v>110</v>
      </c>
      <c r="D25" s="65" t="s">
        <v>787</v>
      </c>
    </row>
    <row r="26" spans="1:4" ht="25.5" x14ac:dyDescent="0.25">
      <c r="A26" s="66" t="s">
        <v>788</v>
      </c>
      <c r="B26" s="67" t="s">
        <v>482</v>
      </c>
      <c r="C26" s="68" t="s">
        <v>116</v>
      </c>
      <c r="D26" s="69" t="s">
        <v>789</v>
      </c>
    </row>
    <row r="27" spans="1:4" ht="25.5" x14ac:dyDescent="0.25">
      <c r="A27" s="70" t="s">
        <v>790</v>
      </c>
      <c r="B27" s="71" t="s">
        <v>494</v>
      </c>
      <c r="C27" s="72" t="s">
        <v>116</v>
      </c>
      <c r="D27" s="73" t="s">
        <v>791</v>
      </c>
    </row>
    <row r="28" spans="1:4" ht="25.5" x14ac:dyDescent="0.25">
      <c r="A28" s="74" t="s">
        <v>792</v>
      </c>
      <c r="B28" s="75" t="s">
        <v>506</v>
      </c>
      <c r="C28" s="76" t="s">
        <v>116</v>
      </c>
      <c r="D28" s="77" t="s">
        <v>793</v>
      </c>
    </row>
    <row r="29" spans="1:4" ht="25.5" x14ac:dyDescent="0.25">
      <c r="A29" s="74" t="s">
        <v>794</v>
      </c>
      <c r="B29" s="75" t="s">
        <v>506</v>
      </c>
      <c r="C29" s="76" t="s">
        <v>110</v>
      </c>
      <c r="D29" s="77" t="s">
        <v>795</v>
      </c>
    </row>
    <row r="30" spans="1:4" ht="25.5" x14ac:dyDescent="0.25">
      <c r="A30" s="54" t="s">
        <v>796</v>
      </c>
      <c r="B30" s="55" t="s">
        <v>446</v>
      </c>
      <c r="C30" s="56" t="s">
        <v>110</v>
      </c>
      <c r="D30" s="57" t="s">
        <v>797</v>
      </c>
    </row>
    <row r="31" spans="1:4" x14ac:dyDescent="0.25">
      <c r="A31" s="54" t="s">
        <v>798</v>
      </c>
      <c r="B31" s="55" t="s">
        <v>446</v>
      </c>
      <c r="C31" s="56" t="s">
        <v>110</v>
      </c>
      <c r="D31" s="57" t="s">
        <v>799</v>
      </c>
    </row>
    <row r="32" spans="1:4" ht="25.5" x14ac:dyDescent="0.25">
      <c r="A32" s="58" t="s">
        <v>800</v>
      </c>
      <c r="B32" s="59" t="s">
        <v>458</v>
      </c>
      <c r="C32" s="60" t="s">
        <v>110</v>
      </c>
      <c r="D32" s="61" t="s">
        <v>801</v>
      </c>
    </row>
    <row r="33" spans="1:4" x14ac:dyDescent="0.25">
      <c r="A33" s="58" t="s">
        <v>802</v>
      </c>
      <c r="B33" s="59" t="s">
        <v>458</v>
      </c>
      <c r="C33" s="60" t="s">
        <v>110</v>
      </c>
      <c r="D33" s="61" t="s">
        <v>803</v>
      </c>
    </row>
    <row r="34" spans="1:4" x14ac:dyDescent="0.25">
      <c r="A34" s="62" t="s">
        <v>804</v>
      </c>
      <c r="B34" s="63" t="s">
        <v>470</v>
      </c>
      <c r="C34" s="64" t="s">
        <v>110</v>
      </c>
      <c r="D34" s="65" t="s">
        <v>805</v>
      </c>
    </row>
    <row r="35" spans="1:4" x14ac:dyDescent="0.25">
      <c r="A35" s="62" t="s">
        <v>806</v>
      </c>
      <c r="B35" s="63" t="s">
        <v>470</v>
      </c>
      <c r="C35" s="64" t="s">
        <v>110</v>
      </c>
      <c r="D35" s="65" t="s">
        <v>807</v>
      </c>
    </row>
    <row r="36" spans="1:4" x14ac:dyDescent="0.25">
      <c r="A36" s="62" t="s">
        <v>808</v>
      </c>
      <c r="B36" s="63" t="s">
        <v>470</v>
      </c>
      <c r="C36" s="64" t="s">
        <v>110</v>
      </c>
      <c r="D36" s="65" t="s">
        <v>809</v>
      </c>
    </row>
    <row r="37" spans="1:4" x14ac:dyDescent="0.25">
      <c r="A37" s="66" t="s">
        <v>810</v>
      </c>
      <c r="B37" s="67" t="s">
        <v>482</v>
      </c>
      <c r="C37" s="68" t="s">
        <v>116</v>
      </c>
      <c r="D37" s="69" t="s">
        <v>811</v>
      </c>
    </row>
    <row r="38" spans="1:4" ht="25.5" x14ac:dyDescent="0.25">
      <c r="A38" s="50" t="s">
        <v>812</v>
      </c>
      <c r="B38" s="51" t="s">
        <v>432</v>
      </c>
      <c r="C38" s="52" t="s">
        <v>110</v>
      </c>
      <c r="D38" s="53" t="s">
        <v>813</v>
      </c>
    </row>
    <row r="39" spans="1:4" x14ac:dyDescent="0.25">
      <c r="A39" s="54" t="s">
        <v>814</v>
      </c>
      <c r="B39" s="55" t="s">
        <v>446</v>
      </c>
      <c r="C39" s="56" t="s">
        <v>121</v>
      </c>
      <c r="D39" s="57" t="s">
        <v>815</v>
      </c>
    </row>
    <row r="40" spans="1:4" x14ac:dyDescent="0.25">
      <c r="A40" s="54" t="s">
        <v>816</v>
      </c>
      <c r="B40" s="55" t="s">
        <v>446</v>
      </c>
      <c r="C40" s="56" t="s">
        <v>121</v>
      </c>
      <c r="D40" s="57" t="s">
        <v>817</v>
      </c>
    </row>
    <row r="41" spans="1:4" x14ac:dyDescent="0.25">
      <c r="A41" s="54" t="s">
        <v>818</v>
      </c>
      <c r="B41" s="55" t="s">
        <v>446</v>
      </c>
      <c r="C41" s="56" t="s">
        <v>110</v>
      </c>
      <c r="D41" s="57" t="s">
        <v>819</v>
      </c>
    </row>
    <row r="42" spans="1:4" x14ac:dyDescent="0.25">
      <c r="A42" s="54" t="s">
        <v>820</v>
      </c>
      <c r="B42" s="55" t="s">
        <v>446</v>
      </c>
      <c r="C42" s="56" t="s">
        <v>121</v>
      </c>
      <c r="D42" s="57" t="s">
        <v>821</v>
      </c>
    </row>
    <row r="43" spans="1:4" x14ac:dyDescent="0.25">
      <c r="A43" s="54" t="s">
        <v>822</v>
      </c>
      <c r="B43" s="55" t="s">
        <v>446</v>
      </c>
      <c r="C43" s="56" t="s">
        <v>110</v>
      </c>
      <c r="D43" s="57" t="s">
        <v>823</v>
      </c>
    </row>
    <row r="44" spans="1:4" x14ac:dyDescent="0.25">
      <c r="A44" s="58" t="s">
        <v>824</v>
      </c>
      <c r="B44" s="59" t="s">
        <v>458</v>
      </c>
      <c r="C44" s="60" t="s">
        <v>121</v>
      </c>
      <c r="D44" s="61" t="s">
        <v>825</v>
      </c>
    </row>
    <row r="45" spans="1:4" x14ac:dyDescent="0.25">
      <c r="A45" s="58" t="s">
        <v>826</v>
      </c>
      <c r="B45" s="59" t="s">
        <v>458</v>
      </c>
      <c r="C45" s="60" t="s">
        <v>121</v>
      </c>
      <c r="D45" s="61" t="s">
        <v>827</v>
      </c>
    </row>
    <row r="46" spans="1:4" x14ac:dyDescent="0.25">
      <c r="A46" s="58" t="s">
        <v>828</v>
      </c>
      <c r="B46" s="59" t="s">
        <v>458</v>
      </c>
      <c r="C46" s="60" t="s">
        <v>110</v>
      </c>
      <c r="D46" s="61" t="s">
        <v>829</v>
      </c>
    </row>
    <row r="47" spans="1:4" x14ac:dyDescent="0.25">
      <c r="A47" s="58" t="s">
        <v>830</v>
      </c>
      <c r="B47" s="59" t="s">
        <v>458</v>
      </c>
      <c r="C47" s="60" t="s">
        <v>121</v>
      </c>
      <c r="D47" s="61" t="s">
        <v>831</v>
      </c>
    </row>
    <row r="48" spans="1:4" x14ac:dyDescent="0.25">
      <c r="A48" s="62" t="s">
        <v>832</v>
      </c>
      <c r="B48" s="63" t="s">
        <v>470</v>
      </c>
      <c r="C48" s="64" t="s">
        <v>121</v>
      </c>
      <c r="D48" s="65" t="s">
        <v>833</v>
      </c>
    </row>
    <row r="49" spans="1:4" x14ac:dyDescent="0.25">
      <c r="A49" s="62" t="s">
        <v>834</v>
      </c>
      <c r="B49" s="63" t="s">
        <v>470</v>
      </c>
      <c r="C49" s="64" t="s">
        <v>121</v>
      </c>
      <c r="D49" s="65" t="s">
        <v>835</v>
      </c>
    </row>
    <row r="50" spans="1:4" x14ac:dyDescent="0.25">
      <c r="A50" s="62" t="s">
        <v>836</v>
      </c>
      <c r="B50" s="63" t="s">
        <v>470</v>
      </c>
      <c r="C50" s="64" t="s">
        <v>110</v>
      </c>
      <c r="D50" s="65" t="s">
        <v>837</v>
      </c>
    </row>
    <row r="51" spans="1:4" x14ac:dyDescent="0.25">
      <c r="A51" s="62" t="s">
        <v>838</v>
      </c>
      <c r="B51" s="63" t="s">
        <v>470</v>
      </c>
      <c r="C51" s="64" t="s">
        <v>121</v>
      </c>
      <c r="D51" s="65" t="s">
        <v>839</v>
      </c>
    </row>
    <row r="52" spans="1:4" x14ac:dyDescent="0.25">
      <c r="A52" s="66" t="s">
        <v>840</v>
      </c>
      <c r="B52" s="67" t="s">
        <v>482</v>
      </c>
      <c r="C52" s="68" t="s">
        <v>110</v>
      </c>
      <c r="D52" s="69" t="s">
        <v>841</v>
      </c>
    </row>
    <row r="53" spans="1:4" x14ac:dyDescent="0.25">
      <c r="A53" s="66" t="s">
        <v>842</v>
      </c>
      <c r="B53" s="67" t="s">
        <v>482</v>
      </c>
      <c r="C53" s="68" t="s">
        <v>843</v>
      </c>
      <c r="D53" s="69" t="s">
        <v>844</v>
      </c>
    </row>
    <row r="54" spans="1:4" ht="25.5" x14ac:dyDescent="0.25">
      <c r="A54" s="70" t="s">
        <v>845</v>
      </c>
      <c r="B54" s="71" t="s">
        <v>494</v>
      </c>
      <c r="C54" s="72" t="s">
        <v>110</v>
      </c>
      <c r="D54" s="73" t="s">
        <v>846</v>
      </c>
    </row>
    <row r="55" spans="1:4" x14ac:dyDescent="0.25">
      <c r="A55" s="74" t="s">
        <v>847</v>
      </c>
      <c r="B55" s="75" t="s">
        <v>506</v>
      </c>
      <c r="C55" s="76" t="s">
        <v>121</v>
      </c>
      <c r="D55" s="77" t="s">
        <v>848</v>
      </c>
    </row>
    <row r="56" spans="1:4" x14ac:dyDescent="0.25">
      <c r="A56" s="74" t="s">
        <v>849</v>
      </c>
      <c r="B56" s="75" t="s">
        <v>506</v>
      </c>
      <c r="C56" s="76" t="s">
        <v>121</v>
      </c>
      <c r="D56" s="77" t="s">
        <v>850</v>
      </c>
    </row>
    <row r="57" spans="1:4" x14ac:dyDescent="0.25">
      <c r="A57" s="74" t="s">
        <v>851</v>
      </c>
      <c r="B57" s="75" t="s">
        <v>506</v>
      </c>
      <c r="C57" s="76" t="s">
        <v>110</v>
      </c>
      <c r="D57" s="77" t="s">
        <v>852</v>
      </c>
    </row>
    <row r="58" spans="1:4" x14ac:dyDescent="0.25">
      <c r="A58" s="74" t="s">
        <v>853</v>
      </c>
      <c r="B58" s="75" t="s">
        <v>506</v>
      </c>
      <c r="C58" s="76" t="s">
        <v>116</v>
      </c>
      <c r="D58" s="77" t="s">
        <v>854</v>
      </c>
    </row>
    <row r="59" spans="1:4" x14ac:dyDescent="0.25">
      <c r="A59" s="74" t="s">
        <v>855</v>
      </c>
      <c r="B59" s="75" t="s">
        <v>506</v>
      </c>
      <c r="C59" s="76" t="s">
        <v>110</v>
      </c>
      <c r="D59" s="77" t="s">
        <v>856</v>
      </c>
    </row>
    <row r="60" spans="1:4" ht="25.5" x14ac:dyDescent="0.25">
      <c r="A60" s="58" t="s">
        <v>857</v>
      </c>
      <c r="B60" s="59" t="s">
        <v>458</v>
      </c>
      <c r="C60" s="60" t="s">
        <v>110</v>
      </c>
      <c r="D60" s="61" t="s">
        <v>858</v>
      </c>
    </row>
    <row r="61" spans="1:4" x14ac:dyDescent="0.25">
      <c r="A61" s="58" t="s">
        <v>859</v>
      </c>
      <c r="B61" s="59" t="s">
        <v>458</v>
      </c>
      <c r="C61" s="60" t="s">
        <v>110</v>
      </c>
      <c r="D61" s="61" t="s">
        <v>860</v>
      </c>
    </row>
    <row r="62" spans="1:4" x14ac:dyDescent="0.25">
      <c r="A62" s="58" t="s">
        <v>861</v>
      </c>
      <c r="B62" s="59" t="s">
        <v>458</v>
      </c>
      <c r="C62" s="60" t="s">
        <v>110</v>
      </c>
      <c r="D62" s="61" t="s">
        <v>862</v>
      </c>
    </row>
    <row r="63" spans="1:4" ht="25.5" x14ac:dyDescent="0.25">
      <c r="A63" s="58" t="s">
        <v>863</v>
      </c>
      <c r="B63" s="59" t="s">
        <v>458</v>
      </c>
      <c r="C63" s="60" t="s">
        <v>110</v>
      </c>
      <c r="D63" s="61" t="s">
        <v>864</v>
      </c>
    </row>
    <row r="64" spans="1:4" x14ac:dyDescent="0.25">
      <c r="A64" s="58" t="s">
        <v>865</v>
      </c>
      <c r="B64" s="59" t="s">
        <v>458</v>
      </c>
      <c r="C64" s="60" t="s">
        <v>110</v>
      </c>
      <c r="D64" s="61" t="s">
        <v>866</v>
      </c>
    </row>
    <row r="65" spans="1:4" x14ac:dyDescent="0.25">
      <c r="A65" s="62" t="s">
        <v>867</v>
      </c>
      <c r="B65" s="63" t="s">
        <v>470</v>
      </c>
      <c r="C65" s="64" t="s">
        <v>110</v>
      </c>
      <c r="D65" s="65" t="s">
        <v>868</v>
      </c>
    </row>
    <row r="66" spans="1:4" x14ac:dyDescent="0.25">
      <c r="A66" s="66" t="s">
        <v>869</v>
      </c>
      <c r="B66" s="67" t="s">
        <v>482</v>
      </c>
      <c r="C66" s="68" t="s">
        <v>121</v>
      </c>
      <c r="D66" s="69" t="s">
        <v>870</v>
      </c>
    </row>
    <row r="67" spans="1:4" x14ac:dyDescent="0.25">
      <c r="A67" s="66" t="s">
        <v>871</v>
      </c>
      <c r="B67" s="67" t="s">
        <v>482</v>
      </c>
      <c r="C67" s="68" t="s">
        <v>121</v>
      </c>
      <c r="D67" s="69" t="s">
        <v>872</v>
      </c>
    </row>
    <row r="68" spans="1:4" ht="25.5" x14ac:dyDescent="0.25">
      <c r="A68" s="66" t="s">
        <v>873</v>
      </c>
      <c r="B68" s="67" t="s">
        <v>482</v>
      </c>
      <c r="C68" s="68" t="s">
        <v>110</v>
      </c>
      <c r="D68" s="69" t="s">
        <v>874</v>
      </c>
    </row>
    <row r="69" spans="1:4" x14ac:dyDescent="0.25">
      <c r="A69" s="70" t="s">
        <v>875</v>
      </c>
      <c r="B69" s="71" t="s">
        <v>494</v>
      </c>
      <c r="C69" s="72" t="s">
        <v>121</v>
      </c>
      <c r="D69" s="73" t="s">
        <v>876</v>
      </c>
    </row>
    <row r="70" spans="1:4" ht="25.5" x14ac:dyDescent="0.25">
      <c r="A70" s="74" t="s">
        <v>877</v>
      </c>
      <c r="B70" s="75" t="s">
        <v>506</v>
      </c>
      <c r="C70" s="76" t="s">
        <v>121</v>
      </c>
      <c r="D70" s="77" t="s">
        <v>878</v>
      </c>
    </row>
    <row r="71" spans="1:4" ht="25.5" x14ac:dyDescent="0.25">
      <c r="A71" s="54" t="s">
        <v>879</v>
      </c>
      <c r="B71" s="55" t="s">
        <v>446</v>
      </c>
      <c r="C71" s="56" t="s">
        <v>116</v>
      </c>
      <c r="D71" s="57" t="s">
        <v>880</v>
      </c>
    </row>
    <row r="72" spans="1:4" ht="25.5" x14ac:dyDescent="0.25">
      <c r="A72" s="54" t="s">
        <v>881</v>
      </c>
      <c r="B72" s="55" t="s">
        <v>446</v>
      </c>
      <c r="C72" s="56" t="s">
        <v>116</v>
      </c>
      <c r="D72" s="57" t="s">
        <v>882</v>
      </c>
    </row>
    <row r="73" spans="1:4" ht="25.5" x14ac:dyDescent="0.25">
      <c r="A73" s="58" t="s">
        <v>883</v>
      </c>
      <c r="B73" s="59" t="s">
        <v>458</v>
      </c>
      <c r="C73" s="60" t="s">
        <v>110</v>
      </c>
      <c r="D73" s="61" t="s">
        <v>884</v>
      </c>
    </row>
    <row r="74" spans="1:4" ht="25.5" x14ac:dyDescent="0.25">
      <c r="A74" s="70" t="s">
        <v>885</v>
      </c>
      <c r="B74" s="71" t="s">
        <v>494</v>
      </c>
      <c r="C74" s="72" t="s">
        <v>116</v>
      </c>
      <c r="D74" s="73" t="s">
        <v>886</v>
      </c>
    </row>
    <row r="76" spans="1:4" x14ac:dyDescent="0.25">
      <c r="A76" s="94" t="s">
        <v>887</v>
      </c>
      <c r="B76" s="90"/>
      <c r="C76" s="90"/>
      <c r="D76" s="90"/>
    </row>
  </sheetData>
  <mergeCells count="3">
    <mergeCell ref="A1:D1"/>
    <mergeCell ref="A76:D76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3"/>
  <sheetViews>
    <sheetView showGridLines="0" workbookViewId="0"/>
  </sheetViews>
  <sheetFormatPr defaultRowHeight="15" x14ac:dyDescent="0.25"/>
  <cols>
    <col min="1" max="1" width="6" customWidth="1"/>
    <col min="2" max="2" width="50" customWidth="1"/>
    <col min="3" max="3" width="14" customWidth="1"/>
    <col min="4" max="4" width="12" customWidth="1"/>
    <col min="5" max="5" width="32" customWidth="1"/>
  </cols>
  <sheetData>
    <row r="1" spans="1:5" ht="18.75" x14ac:dyDescent="0.25">
      <c r="A1" s="99" t="s">
        <v>888</v>
      </c>
      <c r="B1" s="90"/>
      <c r="C1" s="90"/>
      <c r="D1" s="90"/>
      <c r="E1" s="90"/>
    </row>
    <row r="2" spans="1:5" x14ac:dyDescent="0.25">
      <c r="A2" s="94" t="s">
        <v>889</v>
      </c>
      <c r="B2" s="90"/>
      <c r="C2" s="90"/>
      <c r="D2" s="90"/>
      <c r="E2" s="90"/>
    </row>
    <row r="3" spans="1:5" x14ac:dyDescent="0.25">
      <c r="A3" s="41" t="s">
        <v>890</v>
      </c>
      <c r="B3" s="41" t="s">
        <v>105</v>
      </c>
      <c r="C3" s="41" t="s">
        <v>742</v>
      </c>
      <c r="D3" s="41" t="s">
        <v>891</v>
      </c>
      <c r="E3" s="41" t="s">
        <v>892</v>
      </c>
    </row>
    <row r="4" spans="1:5" ht="25.5" x14ac:dyDescent="0.25">
      <c r="A4" s="78" t="s">
        <v>538</v>
      </c>
      <c r="B4" s="14" t="s">
        <v>893</v>
      </c>
      <c r="C4" s="15" t="s">
        <v>132</v>
      </c>
      <c r="D4" s="15">
        <v>30</v>
      </c>
      <c r="E4" s="79" t="s">
        <v>894</v>
      </c>
    </row>
    <row r="5" spans="1:5" ht="25.5" x14ac:dyDescent="0.25">
      <c r="A5" s="80" t="s">
        <v>538</v>
      </c>
      <c r="B5" s="11" t="s">
        <v>895</v>
      </c>
      <c r="C5" s="12" t="s">
        <v>110</v>
      </c>
      <c r="D5" s="12">
        <v>5</v>
      </c>
      <c r="E5" s="81" t="s">
        <v>896</v>
      </c>
    </row>
    <row r="6" spans="1:5" x14ac:dyDescent="0.25">
      <c r="A6" s="78" t="s">
        <v>538</v>
      </c>
      <c r="B6" s="14" t="s">
        <v>897</v>
      </c>
      <c r="C6" s="15" t="s">
        <v>110</v>
      </c>
      <c r="D6" s="15">
        <v>10</v>
      </c>
      <c r="E6" s="79" t="s">
        <v>898</v>
      </c>
    </row>
    <row r="7" spans="1:5" ht="25.5" x14ac:dyDescent="0.25">
      <c r="A7" s="80" t="s">
        <v>538</v>
      </c>
      <c r="B7" s="11" t="s">
        <v>899</v>
      </c>
      <c r="C7" s="12" t="s">
        <v>110</v>
      </c>
      <c r="D7" s="12">
        <v>5</v>
      </c>
      <c r="E7" s="81" t="s">
        <v>900</v>
      </c>
    </row>
    <row r="8" spans="1:5" x14ac:dyDescent="0.25">
      <c r="A8" s="78" t="s">
        <v>538</v>
      </c>
      <c r="B8" s="14" t="s">
        <v>901</v>
      </c>
      <c r="C8" s="15" t="s">
        <v>116</v>
      </c>
      <c r="D8" s="15">
        <v>15</v>
      </c>
      <c r="E8" s="79" t="s">
        <v>902</v>
      </c>
    </row>
    <row r="9" spans="1:5" ht="25.5" x14ac:dyDescent="0.25">
      <c r="A9" s="80" t="s">
        <v>538</v>
      </c>
      <c r="B9" s="11" t="s">
        <v>903</v>
      </c>
      <c r="C9" s="12" t="s">
        <v>116</v>
      </c>
      <c r="D9" s="12">
        <v>15</v>
      </c>
      <c r="E9" s="81" t="s">
        <v>904</v>
      </c>
    </row>
    <row r="10" spans="1:5" ht="25.5" x14ac:dyDescent="0.25">
      <c r="A10" s="78" t="s">
        <v>538</v>
      </c>
      <c r="B10" s="14" t="s">
        <v>905</v>
      </c>
      <c r="C10" s="15" t="s">
        <v>116</v>
      </c>
      <c r="D10" s="15">
        <v>20</v>
      </c>
      <c r="E10" s="79" t="s">
        <v>906</v>
      </c>
    </row>
    <row r="11" spans="1:5" ht="25.5" x14ac:dyDescent="0.25">
      <c r="A11" s="80" t="s">
        <v>538</v>
      </c>
      <c r="B11" s="11" t="s">
        <v>907</v>
      </c>
      <c r="C11" s="12" t="s">
        <v>121</v>
      </c>
      <c r="D11" s="12">
        <v>15</v>
      </c>
      <c r="E11" s="81" t="s">
        <v>908</v>
      </c>
    </row>
    <row r="12" spans="1:5" ht="25.5" x14ac:dyDescent="0.25">
      <c r="A12" s="78" t="s">
        <v>538</v>
      </c>
      <c r="B12" s="14" t="s">
        <v>909</v>
      </c>
      <c r="C12" s="15" t="s">
        <v>121</v>
      </c>
      <c r="D12" s="15">
        <v>15</v>
      </c>
      <c r="E12" s="79" t="s">
        <v>910</v>
      </c>
    </row>
    <row r="13" spans="1:5" ht="25.5" x14ac:dyDescent="0.25">
      <c r="A13" s="80" t="s">
        <v>538</v>
      </c>
      <c r="B13" s="11" t="s">
        <v>911</v>
      </c>
      <c r="C13" s="12" t="s">
        <v>110</v>
      </c>
      <c r="D13" s="12">
        <v>10</v>
      </c>
      <c r="E13" s="81" t="s">
        <v>912</v>
      </c>
    </row>
    <row r="14" spans="1:5" ht="25.5" x14ac:dyDescent="0.25">
      <c r="A14" s="78" t="s">
        <v>538</v>
      </c>
      <c r="B14" s="14" t="s">
        <v>913</v>
      </c>
      <c r="C14" s="15" t="s">
        <v>110</v>
      </c>
      <c r="D14" s="15">
        <v>5</v>
      </c>
      <c r="E14" s="79" t="s">
        <v>914</v>
      </c>
    </row>
    <row r="15" spans="1:5" x14ac:dyDescent="0.25">
      <c r="A15" s="80" t="s">
        <v>538</v>
      </c>
      <c r="B15" s="11" t="s">
        <v>915</v>
      </c>
      <c r="C15" s="12" t="s">
        <v>116</v>
      </c>
      <c r="D15" s="12">
        <v>10</v>
      </c>
      <c r="E15" s="81" t="s">
        <v>916</v>
      </c>
    </row>
    <row r="16" spans="1:5" ht="25.5" x14ac:dyDescent="0.25">
      <c r="A16" s="78" t="s">
        <v>538</v>
      </c>
      <c r="B16" s="14" t="s">
        <v>917</v>
      </c>
      <c r="C16" s="15" t="s">
        <v>110</v>
      </c>
      <c r="D16" s="15">
        <v>10</v>
      </c>
      <c r="E16" s="79" t="s">
        <v>918</v>
      </c>
    </row>
    <row r="17" spans="1:5" ht="25.5" x14ac:dyDescent="0.25">
      <c r="A17" s="80" t="s">
        <v>538</v>
      </c>
      <c r="B17" s="11" t="s">
        <v>919</v>
      </c>
      <c r="C17" s="12" t="s">
        <v>132</v>
      </c>
      <c r="D17" s="12">
        <v>10</v>
      </c>
      <c r="E17" s="81" t="s">
        <v>920</v>
      </c>
    </row>
    <row r="18" spans="1:5" x14ac:dyDescent="0.25">
      <c r="A18" s="78" t="s">
        <v>538</v>
      </c>
      <c r="B18" s="14" t="s">
        <v>921</v>
      </c>
      <c r="C18" s="15" t="s">
        <v>121</v>
      </c>
      <c r="D18" s="15">
        <v>5</v>
      </c>
      <c r="E18" s="79" t="s">
        <v>922</v>
      </c>
    </row>
    <row r="19" spans="1:5" ht="25.5" x14ac:dyDescent="0.25">
      <c r="A19" s="80" t="s">
        <v>538</v>
      </c>
      <c r="B19" s="11" t="s">
        <v>923</v>
      </c>
      <c r="C19" s="12" t="s">
        <v>132</v>
      </c>
      <c r="D19" s="12">
        <v>10</v>
      </c>
      <c r="E19" s="81" t="s">
        <v>924</v>
      </c>
    </row>
    <row r="20" spans="1:5" ht="25.5" x14ac:dyDescent="0.25">
      <c r="A20" s="78" t="s">
        <v>538</v>
      </c>
      <c r="B20" s="14" t="s">
        <v>925</v>
      </c>
      <c r="C20" s="15" t="s">
        <v>132</v>
      </c>
      <c r="D20" s="15">
        <v>10</v>
      </c>
      <c r="E20" s="79" t="s">
        <v>926</v>
      </c>
    </row>
    <row r="21" spans="1:5" ht="25.5" x14ac:dyDescent="0.25">
      <c r="A21" s="80" t="s">
        <v>538</v>
      </c>
      <c r="B21" s="11" t="s">
        <v>927</v>
      </c>
      <c r="C21" s="12" t="s">
        <v>132</v>
      </c>
      <c r="D21" s="12">
        <v>5</v>
      </c>
      <c r="E21" s="81" t="s">
        <v>928</v>
      </c>
    </row>
    <row r="23" spans="1:5" x14ac:dyDescent="0.25">
      <c r="A23" s="104" t="s">
        <v>929</v>
      </c>
      <c r="B23" s="90"/>
      <c r="C23" s="90"/>
      <c r="D23" s="90"/>
      <c r="E23" s="90"/>
    </row>
  </sheetData>
  <mergeCells count="3">
    <mergeCell ref="A2:E2"/>
    <mergeCell ref="A1:E1"/>
    <mergeCell ref="A23:E2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1"/>
  <sheetViews>
    <sheetView showGridLines="0" workbookViewId="0"/>
  </sheetViews>
  <sheetFormatPr defaultRowHeight="15" x14ac:dyDescent="0.25"/>
  <cols>
    <col min="1" max="1" width="36" customWidth="1"/>
    <col min="2" max="2" width="18" customWidth="1"/>
    <col min="3" max="3" width="28" customWidth="1"/>
    <col min="4" max="6" width="20" customWidth="1"/>
  </cols>
  <sheetData>
    <row r="1" spans="1:6" ht="18.75" x14ac:dyDescent="0.25">
      <c r="A1" s="92" t="s">
        <v>930</v>
      </c>
      <c r="B1" s="90"/>
      <c r="C1" s="90"/>
      <c r="D1" s="90"/>
      <c r="E1" s="90"/>
      <c r="F1" s="90"/>
    </row>
    <row r="2" spans="1:6" x14ac:dyDescent="0.25">
      <c r="A2" s="94" t="s">
        <v>931</v>
      </c>
      <c r="B2" s="90"/>
      <c r="C2" s="90"/>
      <c r="D2" s="90"/>
      <c r="E2" s="90"/>
      <c r="F2" s="90"/>
    </row>
    <row r="3" spans="1:6" x14ac:dyDescent="0.25">
      <c r="A3" s="9" t="s">
        <v>932</v>
      </c>
      <c r="B3" s="9" t="s">
        <v>933</v>
      </c>
      <c r="C3" s="9" t="s">
        <v>934</v>
      </c>
      <c r="D3" s="9" t="s">
        <v>935</v>
      </c>
      <c r="E3" s="9" t="s">
        <v>936</v>
      </c>
      <c r="F3" s="9" t="s">
        <v>60</v>
      </c>
    </row>
    <row r="4" spans="1:6" x14ac:dyDescent="0.25">
      <c r="A4" s="82" t="s">
        <v>937</v>
      </c>
      <c r="B4" s="83" t="s">
        <v>938</v>
      </c>
      <c r="C4" s="81" t="e">
        <f>SUM(Master [1]Tracker!G4:G11)</f>
        <v>#NAME?</v>
      </c>
      <c r="D4" s="12" t="s">
        <v>939</v>
      </c>
      <c r="E4" s="12" t="s">
        <v>940</v>
      </c>
      <c r="F4" s="84" t="s">
        <v>65</v>
      </c>
    </row>
    <row r="5" spans="1:6" x14ac:dyDescent="0.25">
      <c r="A5" s="85" t="s">
        <v>941</v>
      </c>
      <c r="B5" s="86" t="s">
        <v>942</v>
      </c>
      <c r="C5" s="79" t="s">
        <v>943</v>
      </c>
      <c r="D5" s="15" t="s">
        <v>518</v>
      </c>
      <c r="E5" s="15" t="s">
        <v>141</v>
      </c>
      <c r="F5" s="84" t="s">
        <v>65</v>
      </c>
    </row>
    <row r="6" spans="1:6" ht="25.5" x14ac:dyDescent="0.25">
      <c r="A6" s="82" t="s">
        <v>944</v>
      </c>
      <c r="B6" s="83" t="s">
        <v>945</v>
      </c>
      <c r="C6" s="81" t="s">
        <v>946</v>
      </c>
      <c r="D6" s="12" t="s">
        <v>947</v>
      </c>
      <c r="E6" s="12" t="s">
        <v>141</v>
      </c>
      <c r="F6" s="84" t="s">
        <v>65</v>
      </c>
    </row>
    <row r="7" spans="1:6" x14ac:dyDescent="0.25">
      <c r="A7" s="85" t="s">
        <v>948</v>
      </c>
      <c r="B7" s="86" t="s">
        <v>949</v>
      </c>
      <c r="C7" s="79" t="s">
        <v>950</v>
      </c>
      <c r="D7" s="15" t="s">
        <v>518</v>
      </c>
      <c r="E7" s="15" t="s">
        <v>940</v>
      </c>
      <c r="F7" s="84" t="s">
        <v>65</v>
      </c>
    </row>
    <row r="8" spans="1:6" ht="25.5" x14ac:dyDescent="0.25">
      <c r="A8" s="82" t="s">
        <v>951</v>
      </c>
      <c r="B8" s="83" t="s">
        <v>952</v>
      </c>
      <c r="C8" s="81" t="s">
        <v>953</v>
      </c>
      <c r="D8" s="12" t="s">
        <v>518</v>
      </c>
      <c r="E8" s="12" t="s">
        <v>954</v>
      </c>
      <c r="F8" s="84" t="s">
        <v>65</v>
      </c>
    </row>
    <row r="9" spans="1:6" x14ac:dyDescent="0.25">
      <c r="A9" s="85" t="s">
        <v>955</v>
      </c>
      <c r="B9" s="86" t="s">
        <v>956</v>
      </c>
      <c r="C9" s="79" t="s">
        <v>957</v>
      </c>
      <c r="D9" s="15" t="s">
        <v>518</v>
      </c>
      <c r="E9" s="15" t="s">
        <v>141</v>
      </c>
      <c r="F9" s="84" t="s">
        <v>65</v>
      </c>
    </row>
    <row r="10" spans="1:6" x14ac:dyDescent="0.25">
      <c r="A10" s="82" t="s">
        <v>958</v>
      </c>
      <c r="B10" s="83" t="s">
        <v>959</v>
      </c>
      <c r="C10" s="81" t="e">
        <f>STDEV(SprintHrs)/AVERAGE(SprintHrs)</f>
        <v>#NAME?</v>
      </c>
      <c r="D10" s="12" t="s">
        <v>939</v>
      </c>
      <c r="E10" s="12" t="s">
        <v>141</v>
      </c>
      <c r="F10" s="84" t="s">
        <v>65</v>
      </c>
    </row>
    <row r="11" spans="1:6" x14ac:dyDescent="0.25">
      <c r="A11" s="85" t="s">
        <v>960</v>
      </c>
      <c r="B11" s="86" t="s">
        <v>961</v>
      </c>
      <c r="C11" s="79" t="s">
        <v>962</v>
      </c>
      <c r="D11" s="15" t="s">
        <v>518</v>
      </c>
      <c r="E11" s="15" t="s">
        <v>963</v>
      </c>
      <c r="F11" s="84" t="s">
        <v>65</v>
      </c>
    </row>
    <row r="12" spans="1:6" ht="25.5" x14ac:dyDescent="0.25">
      <c r="A12" s="82" t="s">
        <v>964</v>
      </c>
      <c r="B12" s="83" t="s">
        <v>965</v>
      </c>
      <c r="C12" s="81" t="s">
        <v>966</v>
      </c>
      <c r="D12" s="12" t="s">
        <v>518</v>
      </c>
      <c r="E12" s="12" t="s">
        <v>141</v>
      </c>
      <c r="F12" s="84" t="s">
        <v>65</v>
      </c>
    </row>
    <row r="13" spans="1:6" ht="38.25" x14ac:dyDescent="0.25">
      <c r="A13" s="85" t="s">
        <v>967</v>
      </c>
      <c r="B13" s="86" t="s">
        <v>968</v>
      </c>
      <c r="C13" s="79" t="s">
        <v>969</v>
      </c>
      <c r="D13" s="15" t="s">
        <v>518</v>
      </c>
      <c r="E13" s="15" t="s">
        <v>141</v>
      </c>
      <c r="F13" s="84" t="s">
        <v>65</v>
      </c>
    </row>
    <row r="14" spans="1:6" ht="25.5" x14ac:dyDescent="0.25">
      <c r="A14" s="82" t="s">
        <v>970</v>
      </c>
      <c r="B14" s="83" t="s">
        <v>971</v>
      </c>
      <c r="C14" s="81" t="s">
        <v>972</v>
      </c>
      <c r="D14" s="12" t="s">
        <v>518</v>
      </c>
      <c r="E14" s="12" t="s">
        <v>141</v>
      </c>
      <c r="F14" s="84" t="s">
        <v>65</v>
      </c>
    </row>
    <row r="15" spans="1:6" ht="25.5" x14ac:dyDescent="0.25">
      <c r="A15" s="85" t="s">
        <v>973</v>
      </c>
      <c r="B15" s="86" t="s">
        <v>974</v>
      </c>
      <c r="C15" s="79" t="s">
        <v>975</v>
      </c>
      <c r="D15" s="15" t="s">
        <v>947</v>
      </c>
      <c r="E15" s="15" t="s">
        <v>141</v>
      </c>
      <c r="F15" s="84" t="s">
        <v>65</v>
      </c>
    </row>
    <row r="16" spans="1:6" ht="25.5" x14ac:dyDescent="0.25">
      <c r="A16" s="82" t="s">
        <v>976</v>
      </c>
      <c r="B16" s="83" t="s">
        <v>977</v>
      </c>
      <c r="C16" s="81" t="s">
        <v>978</v>
      </c>
      <c r="D16" s="12" t="s">
        <v>939</v>
      </c>
      <c r="E16" s="12" t="s">
        <v>141</v>
      </c>
      <c r="F16" s="84" t="s">
        <v>65</v>
      </c>
    </row>
    <row r="17" spans="1:6" ht="25.5" x14ac:dyDescent="0.25">
      <c r="A17" s="85" t="s">
        <v>979</v>
      </c>
      <c r="B17" s="86" t="s">
        <v>980</v>
      </c>
      <c r="C17" s="79" t="s">
        <v>981</v>
      </c>
      <c r="D17" s="15" t="s">
        <v>506</v>
      </c>
      <c r="E17" s="15" t="s">
        <v>141</v>
      </c>
      <c r="F17" s="84" t="s">
        <v>65</v>
      </c>
    </row>
    <row r="18" spans="1:6" ht="25.5" x14ac:dyDescent="0.25">
      <c r="A18" s="82" t="s">
        <v>982</v>
      </c>
      <c r="B18" s="83" t="s">
        <v>983</v>
      </c>
      <c r="C18" s="81" t="s">
        <v>984</v>
      </c>
      <c r="D18" s="12" t="s">
        <v>506</v>
      </c>
      <c r="E18" s="12" t="s">
        <v>141</v>
      </c>
      <c r="F18" s="84" t="s">
        <v>65</v>
      </c>
    </row>
    <row r="21" spans="1:6" x14ac:dyDescent="0.25">
      <c r="A21" s="94" t="s">
        <v>985</v>
      </c>
      <c r="B21" s="90"/>
      <c r="C21" s="90"/>
      <c r="D21" s="90"/>
      <c r="E21" s="90"/>
      <c r="F21" s="90"/>
    </row>
  </sheetData>
  <mergeCells count="3">
    <mergeCell ref="A2:F2"/>
    <mergeCell ref="A21:F2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</vt:lpstr>
      <vt:lpstr>📊 Dashboard</vt:lpstr>
      <vt:lpstr>🏃 Sprint 1</vt:lpstr>
      <vt:lpstr>🏃 Sprint 2</vt:lpstr>
      <vt:lpstr>🏃 Sprint 3</vt:lpstr>
      <vt:lpstr>🏃 Sprint 4</vt:lpstr>
      <vt:lpstr>🏃 Sprint 5</vt:lpstr>
      <vt:lpstr>🏃 Sprint 6</vt:lpstr>
      <vt:lpstr>🏃 Sprint 7</vt:lpstr>
      <vt:lpstr>🏃 Sprint 8</vt:lpstr>
      <vt:lpstr>🗺 Master Tracker</vt:lpstr>
      <vt:lpstr>📅 Class Schedule</vt:lpstr>
      <vt:lpstr>📦 Tech Stack</vt:lpstr>
      <vt:lpstr>📐 ERD</vt:lpstr>
      <vt:lpstr>🗂 Flutter Scaffold</vt:lpstr>
      <vt:lpstr>✅ Day 1 Checklist</vt:lpstr>
      <vt:lpstr>📈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psst150v2@yahoo.com</cp:lastModifiedBy>
  <dcterms:created xsi:type="dcterms:W3CDTF">2026-03-02T12:41:06Z</dcterms:created>
  <dcterms:modified xsi:type="dcterms:W3CDTF">2026-03-02T12:42:39Z</dcterms:modified>
</cp:coreProperties>
</file>